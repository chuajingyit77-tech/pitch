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成绩目标" sheetId="2" state="visible" r:id="rId2"/>
    <sheet name="成绩追踪" sheetId="3" state="visible" r:id="rId3"/>
    <sheet name="说明" sheetId="4" state="visible" r:id="rId4"/>
  </sheets>
  <definedNames>
    <definedName name="_xlnm._FilterDatabase" localSheetId="0" hidden="1">'Leads'!$A$1:$O$36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b val="1"/>
      <sz val="12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3" fontId="5" fillId="4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3" fontId="0" fillId="0" borderId="1" pivotButton="0" quotePrefix="0" xfId="0"/>
    <xf numFmtId="0" fontId="6" fillId="0" borderId="0" pivotButton="0" quotePrefix="0" xfId="0"/>
    <xf numFmtId="3" fontId="7" fillId="3" borderId="0" pivotButton="0" quotePrefix="0" xfId="0"/>
    <xf numFmtId="0" fontId="8" fillId="0" borderId="1" pivotButton="0" quotePrefix="0" xfId="0"/>
    <xf numFmtId="3" fontId="8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8" customWidth="1" min="3" max="3"/>
    <col width="15" customWidth="1" min="4" max="4"/>
    <col width="24" customWidth="1" min="5" max="5"/>
    <col width="26" customWidth="1" min="6" max="6"/>
    <col width="8" customWidth="1" min="7" max="7"/>
    <col width="13" customWidth="1" min="8" max="8"/>
    <col width="34" customWidth="1" min="9" max="9"/>
    <col width="16" customWidth="1" min="10" max="10"/>
    <col width="9" customWidth="1" min="11" max="11"/>
    <col width="44" customWidth="1" min="12" max="12"/>
    <col width="13" customWidth="1" min="13" max="13"/>
    <col width="10" customWidth="1" min="14" max="14"/>
    <col width="15" customWidth="1" min="15" max="15"/>
  </cols>
  <sheetData>
    <row r="1">
      <c r="A1" s="1" t="inlineStr">
        <is>
          <t>lead_id</t>
        </is>
      </c>
      <c r="B1" s="1" t="inlineStr">
        <is>
          <t>name</t>
        </is>
      </c>
      <c r="C1" s="1" t="inlineStr">
        <is>
          <t>segment</t>
        </is>
      </c>
      <c r="D1" s="1" t="inlineStr">
        <is>
          <t>category</t>
        </is>
      </c>
      <c r="E1" s="1" t="inlineStr">
        <is>
          <t>area</t>
        </is>
      </c>
      <c r="F1" s="1" t="inlineStr">
        <is>
          <t>famous_for</t>
        </is>
      </c>
      <c r="G1" s="1" t="inlineStr">
        <is>
          <t>halal</t>
        </is>
      </c>
      <c r="H1" s="1" t="inlineStr">
        <is>
          <t>phone</t>
        </is>
      </c>
      <c r="I1" s="1" t="inlineStr">
        <is>
          <t>address</t>
        </is>
      </c>
      <c r="J1" s="1" t="inlineStr">
        <is>
          <t>website</t>
        </is>
      </c>
      <c r="K1" s="1" t="inlineStr">
        <is>
          <t>priority</t>
        </is>
      </c>
      <c r="L1" s="1" t="inlineStr">
        <is>
          <t>approach_notes</t>
        </is>
      </c>
      <c r="M1" s="1" t="inlineStr">
        <is>
          <t>source</t>
        </is>
      </c>
      <c r="N1" s="1" t="inlineStr">
        <is>
          <t>status</t>
        </is>
      </c>
      <c r="O1" s="1" t="inlineStr">
        <is>
          <t>next_action</t>
        </is>
      </c>
    </row>
    <row r="2">
      <c r="A2" s="2" t="inlineStr">
        <is>
          <t>CHR-001</t>
        </is>
      </c>
      <c r="B2" s="2" t="inlineStr">
        <is>
          <t>Big Tree Lin Kee Steamed Fish Head</t>
        </is>
      </c>
      <c r="C2" s="2" t="inlineStr">
        <is>
          <t>restaurant</t>
        </is>
      </c>
      <c r="D2" s="2" t="inlineStr">
        <is>
          <t>chinese</t>
        </is>
      </c>
      <c r="E2" s="2" t="inlineStr">
        <is>
          <t>Taman Connaught</t>
        </is>
      </c>
      <c r="F2" s="3" t="inlineStr">
        <is>
          <t>蒸鱼头</t>
        </is>
      </c>
      <c r="G2" s="2" t="inlineStr"/>
      <c r="H2" s="2" t="inlineStr"/>
      <c r="I2" s="2" t="inlineStr"/>
      <c r="J2" s="2" t="inlineStr"/>
      <c r="K2" s="4" t="inlineStr">
        <is>
          <t>High</t>
        </is>
      </c>
      <c r="L2" s="3" t="inlineStr">
        <is>
          <t>排队名店，营业额报表+视频都好卖</t>
        </is>
      </c>
      <c r="M2" s="2" t="inlineStr">
        <is>
          <t>openrice</t>
        </is>
      </c>
      <c r="N2" s="2" t="inlineStr">
        <is>
          <t>New</t>
        </is>
      </c>
      <c r="O2" s="2" t="inlineStr"/>
    </row>
    <row r="3">
      <c r="A3" s="2" t="inlineStr">
        <is>
          <t>CHR-002</t>
        </is>
      </c>
      <c r="B3" s="2" t="inlineStr">
        <is>
          <t>Sun Ming Restaurant</t>
        </is>
      </c>
      <c r="C3" s="2" t="inlineStr">
        <is>
          <t>restaurant</t>
        </is>
      </c>
      <c r="D3" s="2" t="inlineStr">
        <is>
          <t>chinese</t>
        </is>
      </c>
      <c r="E3" s="2" t="inlineStr">
        <is>
          <t>Taman Connaught</t>
        </is>
      </c>
      <c r="F3" s="3" t="inlineStr">
        <is>
          <t>烧鸭（KL数一数二）</t>
        </is>
      </c>
      <c r="G3" s="2" t="inlineStr"/>
      <c r="H3" s="2" t="inlineStr"/>
      <c r="I3" s="2" t="inlineStr"/>
      <c r="J3" s="2" t="inlineStr"/>
      <c r="K3" s="4" t="inlineStr">
        <is>
          <t>High</t>
        </is>
      </c>
      <c r="L3" s="3" t="inlineStr">
        <is>
          <t>地标级老店，内容放大价值极高</t>
        </is>
      </c>
      <c r="M3" s="2" t="inlineStr">
        <is>
          <t>thesmartlocal</t>
        </is>
      </c>
      <c r="N3" s="2" t="inlineStr">
        <is>
          <t>New</t>
        </is>
      </c>
      <c r="O3" s="2" t="inlineStr"/>
    </row>
    <row r="4">
      <c r="A4" s="2" t="inlineStr">
        <is>
          <t>CHR-003</t>
        </is>
      </c>
      <c r="B4" s="2" t="inlineStr">
        <is>
          <t>Restoran Char Siew Yoong</t>
        </is>
      </c>
      <c r="C4" s="2" t="inlineStr">
        <is>
          <t>restaurant</t>
        </is>
      </c>
      <c r="D4" s="2" t="inlineStr">
        <is>
          <t>chinese</t>
        </is>
      </c>
      <c r="E4" s="2" t="inlineStr">
        <is>
          <t>Taman Connaught</t>
        </is>
      </c>
      <c r="F4" s="3" t="inlineStr">
        <is>
          <t>老字号叉烧</t>
        </is>
      </c>
      <c r="G4" s="2" t="inlineStr"/>
      <c r="H4" s="2" t="inlineStr"/>
      <c r="I4" s="2" t="inlineStr"/>
      <c r="J4" s="2" t="inlineStr"/>
      <c r="K4" s="4" t="inlineStr">
        <is>
          <t>High</t>
        </is>
      </c>
      <c r="L4" s="3" t="inlineStr">
        <is>
          <t>几十年老店，'老店新说'类视频必爆</t>
        </is>
      </c>
      <c r="M4" s="2" t="inlineStr">
        <is>
          <t>cozyberries</t>
        </is>
      </c>
      <c r="N4" s="2" t="inlineStr">
        <is>
          <t>New</t>
        </is>
      </c>
      <c r="O4" s="2" t="inlineStr"/>
    </row>
    <row r="5">
      <c r="A5" s="2" t="inlineStr">
        <is>
          <t>CHR-004</t>
        </is>
      </c>
      <c r="B5" s="2" t="inlineStr">
        <is>
          <t>Good Taste Seafood Restaurant</t>
        </is>
      </c>
      <c r="C5" s="2" t="inlineStr">
        <is>
          <t>restaurant</t>
        </is>
      </c>
      <c r="D5" s="2" t="inlineStr">
        <is>
          <t>seafood</t>
        </is>
      </c>
      <c r="E5" s="2" t="inlineStr">
        <is>
          <t>Taman Connaught</t>
        </is>
      </c>
      <c r="F5" s="3" t="inlineStr">
        <is>
          <t>海鲜炒菜</t>
        </is>
      </c>
      <c r="G5" s="2" t="inlineStr"/>
      <c r="H5" s="2" t="inlineStr"/>
      <c r="I5" s="2" t="inlineStr">
        <is>
          <t>26, Jalan Waras 1, Taman Connaught, 56000 KL</t>
        </is>
      </c>
      <c r="J5" s="2" t="inlineStr"/>
      <c r="K5" s="4" t="inlineStr">
        <is>
          <t>High</t>
        </is>
      </c>
      <c r="L5" s="3" t="inlineStr">
        <is>
          <t>海鲜进货成本波动大，成本管控刚需</t>
        </is>
      </c>
      <c r="M5" s="2" t="inlineStr">
        <is>
          <t>bangsarbabe</t>
        </is>
      </c>
      <c r="N5" s="2" t="inlineStr">
        <is>
          <t>New</t>
        </is>
      </c>
      <c r="O5" s="2" t="inlineStr"/>
    </row>
    <row r="6">
      <c r="A6" s="2" t="inlineStr">
        <is>
          <t>CHR-005</t>
        </is>
      </c>
      <c r="B6" s="2" t="inlineStr">
        <is>
          <t>Restaurant Shawarma</t>
        </is>
      </c>
      <c r="C6" s="2" t="inlineStr">
        <is>
          <t>restaurant</t>
        </is>
      </c>
      <c r="D6" s="2" t="inlineStr">
        <is>
          <t>middle eastern</t>
        </is>
      </c>
      <c r="E6" s="2" t="inlineStr">
        <is>
          <t>Taman Connaught</t>
        </is>
      </c>
      <c r="F6" s="3" t="inlineStr">
        <is>
          <t>中东料理</t>
        </is>
      </c>
      <c r="G6" s="2" t="inlineStr"/>
      <c r="H6" s="2" t="inlineStr"/>
      <c r="I6" s="2" t="inlineStr"/>
      <c r="J6" s="2" t="inlineStr"/>
      <c r="K6" s="2" t="inlineStr">
        <is>
          <t>Medium</t>
        </is>
      </c>
      <c r="L6" s="3" t="inlineStr">
        <is>
          <t>夜市人流带动，适合短视频</t>
        </is>
      </c>
      <c r="M6" s="2" t="inlineStr">
        <is>
          <t>thesmartlocal</t>
        </is>
      </c>
      <c r="N6" s="2" t="inlineStr">
        <is>
          <t>New</t>
        </is>
      </c>
      <c r="O6" s="2" t="inlineStr"/>
    </row>
    <row r="7">
      <c r="A7" s="2" t="inlineStr">
        <is>
          <t>CHR-006</t>
        </is>
      </c>
      <c r="B7" s="2" t="inlineStr">
        <is>
          <t>Pasar Malam Taman Connaught (摊贩群)</t>
        </is>
      </c>
      <c r="C7" s="2" t="inlineStr">
        <is>
          <t>hawker cluster</t>
        </is>
      </c>
      <c r="D7" s="2" t="inlineStr">
        <is>
          <t>night market</t>
        </is>
      </c>
      <c r="E7" s="2" t="inlineStr">
        <is>
          <t>Taman Connaught</t>
        </is>
      </c>
      <c r="F7" s="3" t="inlineStr">
        <is>
          <t>KL最长夜市</t>
        </is>
      </c>
      <c r="G7" s="2" t="inlineStr"/>
      <c r="H7" s="2" t="inlineStr"/>
      <c r="I7" s="2" t="inlineStr"/>
      <c r="J7" s="2" t="inlineStr"/>
      <c r="K7" s="4" t="inlineStr">
        <is>
          <t>High</t>
        </is>
      </c>
      <c r="L7" s="3" t="inlineStr">
        <is>
          <t>几百个摊位=批量获客渠道，可做摊主套餐</t>
        </is>
      </c>
      <c r="M7" s="2" t="inlineStr">
        <is>
          <t>wanderlog</t>
        </is>
      </c>
      <c r="N7" s="2" t="inlineStr">
        <is>
          <t>New</t>
        </is>
      </c>
      <c r="O7" s="2" t="inlineStr"/>
    </row>
    <row r="8">
      <c r="A8" s="2" t="inlineStr">
        <is>
          <t>CHR-007</t>
        </is>
      </c>
      <c r="B8" s="2" t="inlineStr">
        <is>
          <t>Sausage &amp; Ribs</t>
        </is>
      </c>
      <c r="C8" s="2" t="inlineStr">
        <is>
          <t>restaurant</t>
        </is>
      </c>
      <c r="D8" s="2" t="inlineStr">
        <is>
          <t>western</t>
        </is>
      </c>
      <c r="E8" s="2" t="inlineStr">
        <is>
          <t>Taman Midah</t>
        </is>
      </c>
      <c r="F8" s="3" t="inlineStr">
        <is>
          <t>香肠/猪肋排</t>
        </is>
      </c>
      <c r="G8" s="2" t="inlineStr"/>
      <c r="H8" s="2" t="inlineStr"/>
      <c r="I8" s="2" t="inlineStr">
        <is>
          <t>9, Jalan 2/105, Taman Midah, 56000 KL</t>
        </is>
      </c>
      <c r="J8" s="2" t="inlineStr"/>
      <c r="K8" s="2" t="inlineStr">
        <is>
          <t>Medium</t>
        </is>
      </c>
      <c r="L8" s="3" t="inlineStr">
        <is>
          <t>特色单品适合视频</t>
        </is>
      </c>
      <c r="M8" s="2" t="inlineStr">
        <is>
          <t>cozyberries</t>
        </is>
      </c>
      <c r="N8" s="2" t="inlineStr">
        <is>
          <t>New</t>
        </is>
      </c>
      <c r="O8" s="2" t="inlineStr"/>
    </row>
    <row r="9">
      <c r="A9" s="2" t="inlineStr">
        <is>
          <t>CHR-008</t>
        </is>
      </c>
      <c r="B9" s="2" t="inlineStr">
        <is>
          <t>Anne Elizabeth The Deli Restaurant</t>
        </is>
      </c>
      <c r="C9" s="2" t="inlineStr">
        <is>
          <t>restaurant</t>
        </is>
      </c>
      <c r="D9" s="2" t="inlineStr">
        <is>
          <t>deli/western</t>
        </is>
      </c>
      <c r="E9" s="2" t="inlineStr">
        <is>
          <t>Taman Midah</t>
        </is>
      </c>
      <c r="F9" s="3" t="inlineStr">
        <is>
          <t>家常手作菜</t>
        </is>
      </c>
      <c r="G9" s="2" t="inlineStr"/>
      <c r="H9" s="2" t="inlineStr"/>
      <c r="I9" s="2" t="inlineStr"/>
      <c r="J9" s="2" t="inlineStr"/>
      <c r="K9" s="2" t="inlineStr">
        <is>
          <t>Medium</t>
        </is>
      </c>
      <c r="L9" s="3" t="inlineStr">
        <is>
          <t>温馨小店，社媒内容好做</t>
        </is>
      </c>
      <c r="M9" s="2" t="inlineStr">
        <is>
          <t>cozyberries</t>
        </is>
      </c>
      <c r="N9" s="2" t="inlineStr">
        <is>
          <t>New</t>
        </is>
      </c>
      <c r="O9" s="2" t="inlineStr"/>
    </row>
    <row r="10">
      <c r="A10" s="2" t="inlineStr">
        <is>
          <t>CHR-009</t>
        </is>
      </c>
      <c r="B10" s="2" t="inlineStr">
        <is>
          <t>Murni Discovery Cheras</t>
        </is>
      </c>
      <c r="C10" s="2" t="inlineStr">
        <is>
          <t>restaurant</t>
        </is>
      </c>
      <c r="D10" s="2" t="inlineStr">
        <is>
          <t>mamak</t>
        </is>
      </c>
      <c r="E10" s="2" t="inlineStr">
        <is>
          <t>Taman Midah</t>
        </is>
      </c>
      <c r="F10" s="3" t="inlineStr">
        <is>
          <t>连锁mamak</t>
        </is>
      </c>
      <c r="G10" s="2" t="inlineStr"/>
      <c r="H10" s="2" t="inlineStr"/>
      <c r="I10" s="2" t="inlineStr"/>
      <c r="J10" s="2" t="inlineStr"/>
      <c r="K10" s="2" t="inlineStr">
        <is>
          <t>Medium</t>
        </is>
      </c>
      <c r="L10" s="3" t="inlineStr">
        <is>
          <t>流水大，报表价值高；决策可能在总部</t>
        </is>
      </c>
      <c r="M10" s="2" t="inlineStr">
        <is>
          <t>cozyberries</t>
        </is>
      </c>
      <c r="N10" s="2" t="inlineStr">
        <is>
          <t>New</t>
        </is>
      </c>
      <c r="O10" s="2" t="inlineStr"/>
    </row>
    <row r="11">
      <c r="A11" s="2" t="inlineStr">
        <is>
          <t>CHR-010</t>
        </is>
      </c>
      <c r="B11" s="2" t="inlineStr">
        <is>
          <t>Dragon Door Inn Steamboat 龙门客栈</t>
        </is>
      </c>
      <c r="C11" s="2" t="inlineStr">
        <is>
          <t>restaurant</t>
        </is>
      </c>
      <c r="D11" s="2" t="inlineStr">
        <is>
          <t>steamboat</t>
        </is>
      </c>
      <c r="E11" s="2" t="inlineStr">
        <is>
          <t>Taman Segar</t>
        </is>
      </c>
      <c r="F11" s="3" t="inlineStr">
        <is>
          <t>炭火蒸汽火锅+古装主题</t>
        </is>
      </c>
      <c r="G11" s="2" t="inlineStr"/>
      <c r="H11" s="2" t="inlineStr"/>
      <c r="I11" s="2" t="inlineStr"/>
      <c r="J11" s="2" t="inlineStr"/>
      <c r="K11" s="4" t="inlineStr">
        <is>
          <t>High</t>
        </is>
      </c>
      <c r="L11" s="3" t="inlineStr">
        <is>
          <t>主题店自带话题；火锅食材进出货量大</t>
        </is>
      </c>
      <c r="M11" s="2" t="inlineStr">
        <is>
          <t>klfoodie</t>
        </is>
      </c>
      <c r="N11" s="2" t="inlineStr">
        <is>
          <t>New</t>
        </is>
      </c>
      <c r="O11" s="2" t="inlineStr"/>
    </row>
    <row r="12">
      <c r="A12" s="2" t="inlineStr">
        <is>
          <t>CHR-011</t>
        </is>
      </c>
      <c r="B12" s="2" t="inlineStr">
        <is>
          <t>Kaki Bola XO Fish Head Noodle</t>
        </is>
      </c>
      <c r="C12" s="2" t="inlineStr">
        <is>
          <t>restaurant</t>
        </is>
      </c>
      <c r="D12" s="2" t="inlineStr">
        <is>
          <t>hawker</t>
        </is>
      </c>
      <c r="E12" s="2" t="inlineStr">
        <is>
          <t>Taman Segar</t>
        </is>
      </c>
      <c r="F12" s="3" t="inlineStr">
        <is>
          <t>XO鱼头米粉</t>
        </is>
      </c>
      <c r="G12" s="2" t="inlineStr"/>
      <c r="H12" s="2" t="inlineStr"/>
      <c r="I12" s="2" t="inlineStr"/>
      <c r="J12" s="2" t="inlineStr"/>
      <c r="K12" s="4" t="inlineStr">
        <is>
          <t>High</t>
        </is>
      </c>
      <c r="L12" s="3" t="inlineStr">
        <is>
          <t>午市爆满排队店</t>
        </is>
      </c>
      <c r="M12" s="2" t="inlineStr">
        <is>
          <t>openrice</t>
        </is>
      </c>
      <c r="N12" s="2" t="inlineStr">
        <is>
          <t>New</t>
        </is>
      </c>
      <c r="O12" s="2" t="inlineStr"/>
    </row>
    <row r="13">
      <c r="A13" s="2" t="inlineStr">
        <is>
          <t>CHR-012</t>
        </is>
      </c>
      <c r="B13" s="2" t="inlineStr">
        <is>
          <t>Shi Fu Wantan Mee 师傅云吞面</t>
        </is>
      </c>
      <c r="C13" s="2" t="inlineStr">
        <is>
          <t>restaurant</t>
        </is>
      </c>
      <c r="D13" s="2" t="inlineStr">
        <is>
          <t>hawker</t>
        </is>
      </c>
      <c r="E13" s="2" t="inlineStr">
        <is>
          <t>Taman Segar</t>
        </is>
      </c>
      <c r="F13" s="3" t="inlineStr">
        <is>
          <t>全球最辣板面</t>
        </is>
      </c>
      <c r="G13" s="2" t="inlineStr"/>
      <c r="H13" s="2" t="inlineStr"/>
      <c r="I13" s="2" t="inlineStr"/>
      <c r="J13" s="2" t="inlineStr"/>
      <c r="K13" s="2" t="inlineStr">
        <is>
          <t>Medium</t>
        </is>
      </c>
      <c r="L13" s="3" t="inlineStr">
        <is>
          <t>话题产品，短视频素材现成</t>
        </is>
      </c>
      <c r="M13" s="2" t="inlineStr">
        <is>
          <t>openrice</t>
        </is>
      </c>
      <c r="N13" s="2" t="inlineStr">
        <is>
          <t>New</t>
        </is>
      </c>
      <c r="O13" s="2" t="inlineStr"/>
    </row>
    <row r="14">
      <c r="A14" s="2" t="inlineStr">
        <is>
          <t>CHR-013</t>
        </is>
      </c>
      <c r="B14" s="2" t="inlineStr">
        <is>
          <t>Ahroy Thai Cuisine</t>
        </is>
      </c>
      <c r="C14" s="2" t="inlineStr">
        <is>
          <t>restaurant</t>
        </is>
      </c>
      <c r="D14" s="2" t="inlineStr">
        <is>
          <t>thai</t>
        </is>
      </c>
      <c r="E14" s="2" t="inlineStr">
        <is>
          <t>Taman Segar</t>
        </is>
      </c>
      <c r="F14" s="3" t="inlineStr">
        <is>
          <t>泰国菜</t>
        </is>
      </c>
      <c r="G14" s="2" t="inlineStr"/>
      <c r="H14" s="2" t="inlineStr"/>
      <c r="I14" s="2" t="inlineStr"/>
      <c r="J14" s="2" t="inlineStr"/>
      <c r="K14" s="2" t="inlineStr">
        <is>
          <t>Medium</t>
        </is>
      </c>
      <c r="L14" s="3" t="inlineStr">
        <is>
          <t>泰餐上镜</t>
        </is>
      </c>
      <c r="M14" s="2" t="inlineStr">
        <is>
          <t>openrice</t>
        </is>
      </c>
      <c r="N14" s="2" t="inlineStr">
        <is>
          <t>New</t>
        </is>
      </c>
      <c r="O14" s="2" t="inlineStr"/>
    </row>
    <row r="15">
      <c r="A15" s="2" t="inlineStr">
        <is>
          <t>CHR-014</t>
        </is>
      </c>
      <c r="B15" s="2" t="inlineStr">
        <is>
          <t>Restoran Makanan Teow Chew</t>
        </is>
      </c>
      <c r="C15" s="2" t="inlineStr">
        <is>
          <t>restaurant</t>
        </is>
      </c>
      <c r="D15" s="2" t="inlineStr">
        <is>
          <t>teochew</t>
        </is>
      </c>
      <c r="E15" s="2" t="inlineStr">
        <is>
          <t>Taman Segar</t>
        </is>
      </c>
      <c r="F15" s="3" t="inlineStr">
        <is>
          <t>潮州菜</t>
        </is>
      </c>
      <c r="G15" s="2" t="inlineStr"/>
      <c r="H15" s="2" t="inlineStr"/>
      <c r="I15" s="2" t="inlineStr"/>
      <c r="J15" s="2" t="inlineStr"/>
      <c r="K15" s="2" t="inlineStr">
        <is>
          <t>Medium</t>
        </is>
      </c>
      <c r="L15" s="3" t="inlineStr">
        <is>
          <t>老字号</t>
        </is>
      </c>
      <c r="M15" s="2" t="inlineStr">
        <is>
          <t>openrice</t>
        </is>
      </c>
      <c r="N15" s="2" t="inlineStr">
        <is>
          <t>New</t>
        </is>
      </c>
      <c r="O15" s="2" t="inlineStr"/>
    </row>
    <row r="16">
      <c r="A16" s="2" t="inlineStr">
        <is>
          <t>CHR-015</t>
        </is>
      </c>
      <c r="B16" s="2" t="inlineStr">
        <is>
          <t>Dragon-i (Cheras Leisure Mall)</t>
        </is>
      </c>
      <c r="C16" s="2" t="inlineStr">
        <is>
          <t>restaurant</t>
        </is>
      </c>
      <c r="D16" s="2" t="inlineStr">
        <is>
          <t>chinese chain</t>
        </is>
      </c>
      <c r="E16" s="2" t="inlineStr">
        <is>
          <t>Cheras Leisure Mall</t>
        </is>
      </c>
      <c r="F16" s="3" t="inlineStr">
        <is>
          <t>上海菜连锁</t>
        </is>
      </c>
      <c r="G16" s="2" t="inlineStr"/>
      <c r="H16" s="2" t="inlineStr"/>
      <c r="I16" s="2" t="inlineStr"/>
      <c r="J16" s="2" t="inlineStr"/>
      <c r="K16" s="2" t="inlineStr">
        <is>
          <t>Low</t>
        </is>
      </c>
      <c r="L16" s="3" t="inlineStr">
        <is>
          <t>连锁品牌，决策在总部</t>
        </is>
      </c>
      <c r="M16" s="2" t="inlineStr">
        <is>
          <t>tripadvisor</t>
        </is>
      </c>
      <c r="N16" s="2" t="inlineStr">
        <is>
          <t>New</t>
        </is>
      </c>
      <c r="O16" s="2" t="inlineStr"/>
    </row>
    <row r="17">
      <c r="A17" s="2" t="inlineStr">
        <is>
          <t>CHR-016</t>
        </is>
      </c>
      <c r="B17" s="2" t="inlineStr">
        <is>
          <t>STAGE Cafe</t>
        </is>
      </c>
      <c r="C17" s="2" t="inlineStr">
        <is>
          <t>cafe</t>
        </is>
      </c>
      <c r="D17" s="2" t="inlineStr">
        <is>
          <t>cafe</t>
        </is>
      </c>
      <c r="E17" s="2" t="inlineStr">
        <is>
          <t>Bandar Mahkota Cheras</t>
        </is>
      </c>
      <c r="F17" s="3" t="inlineStr">
        <is>
          <t>安静学习系咖啡店</t>
        </is>
      </c>
      <c r="G17" s="2" t="inlineStr"/>
      <c r="H17" s="2" t="inlineStr"/>
      <c r="I17" s="2" t="inlineStr"/>
      <c r="J17" s="2" t="inlineStr"/>
      <c r="K17" s="4" t="inlineStr">
        <is>
          <t>High</t>
        </is>
      </c>
      <c r="L17" s="3" t="inlineStr">
        <is>
          <t>年轻客群，老板肯花钱做营销</t>
        </is>
      </c>
      <c r="M17" s="2" t="inlineStr">
        <is>
          <t>klnow</t>
        </is>
      </c>
      <c r="N17" s="2" t="inlineStr">
        <is>
          <t>New</t>
        </is>
      </c>
      <c r="O17" s="2" t="inlineStr"/>
    </row>
    <row r="18">
      <c r="A18" s="2" t="inlineStr">
        <is>
          <t>CHR-017</t>
        </is>
      </c>
      <c r="B18" s="2" t="inlineStr">
        <is>
          <t>10 gram</t>
        </is>
      </c>
      <c r="C18" s="2" t="inlineStr">
        <is>
          <t>cafe</t>
        </is>
      </c>
      <c r="D18" s="2" t="inlineStr">
        <is>
          <t>cafe</t>
        </is>
      </c>
      <c r="E18" s="2" t="inlineStr">
        <is>
          <t>Bandar Mahkota Cheras</t>
        </is>
      </c>
      <c r="F18" s="3" t="inlineStr">
        <is>
          <t>设计感内装+brunch</t>
        </is>
      </c>
      <c r="G18" s="2" t="inlineStr"/>
      <c r="H18" s="2" t="inlineStr"/>
      <c r="I18" s="2" t="inlineStr"/>
      <c r="J18" s="2" t="inlineStr"/>
      <c r="K18" s="4" t="inlineStr">
        <is>
          <t>High</t>
        </is>
      </c>
      <c r="L18" s="3" t="inlineStr">
        <is>
          <t>已有品牌意识，可卖代运营+出片</t>
        </is>
      </c>
      <c r="M18" s="2" t="inlineStr">
        <is>
          <t>myweekendplan</t>
        </is>
      </c>
      <c r="N18" s="2" t="inlineStr">
        <is>
          <t>New</t>
        </is>
      </c>
      <c r="O18" s="2" t="inlineStr"/>
    </row>
    <row r="19">
      <c r="A19" s="2" t="inlineStr">
        <is>
          <t>CHR-018</t>
        </is>
      </c>
      <c r="B19" s="2" t="inlineStr">
        <is>
          <t>Baba Kafe</t>
        </is>
      </c>
      <c r="C19" s="2" t="inlineStr">
        <is>
          <t>cafe</t>
        </is>
      </c>
      <c r="D19" s="2" t="inlineStr">
        <is>
          <t>warung cafe</t>
        </is>
      </c>
      <c r="E19" s="2" t="inlineStr">
        <is>
          <t>Bandar Mahkota Cheras</t>
        </is>
      </c>
      <c r="F19" s="3" t="inlineStr">
        <is>
          <t>Nasi Kerabu/Kak Wok</t>
        </is>
      </c>
      <c r="G19" s="2" t="inlineStr"/>
      <c r="H19" s="2" t="inlineStr"/>
      <c r="I19" s="2" t="inlineStr"/>
      <c r="J19" s="2" t="inlineStr"/>
      <c r="K19" s="2" t="inlineStr">
        <is>
          <t>Medium</t>
        </is>
      </c>
      <c r="L19" s="3" t="inlineStr">
        <is>
          <t>马来客群市场大</t>
        </is>
      </c>
      <c r="M19" s="2" t="inlineStr">
        <is>
          <t>klnow</t>
        </is>
      </c>
      <c r="N19" s="2" t="inlineStr">
        <is>
          <t>New</t>
        </is>
      </c>
      <c r="O19" s="2" t="inlineStr"/>
    </row>
    <row r="20">
      <c r="A20" s="2" t="inlineStr">
        <is>
          <t>CHR-019</t>
        </is>
      </c>
      <c r="B20" s="2" t="inlineStr">
        <is>
          <t>Caveman Coffee</t>
        </is>
      </c>
      <c r="C20" s="2" t="inlineStr">
        <is>
          <t>cafe</t>
        </is>
      </c>
      <c r="D20" s="2" t="inlineStr">
        <is>
          <t>cafe</t>
        </is>
      </c>
      <c r="E20" s="2" t="inlineStr">
        <is>
          <t>Eko Cheras Mall</t>
        </is>
      </c>
      <c r="F20" s="3" t="inlineStr">
        <is>
          <t>商场顶楼咖啡</t>
        </is>
      </c>
      <c r="G20" s="2" t="inlineStr"/>
      <c r="H20" s="2" t="inlineStr"/>
      <c r="I20" s="2" t="inlineStr"/>
      <c r="J20" s="2" t="inlineStr"/>
      <c r="K20" s="2" t="inlineStr">
        <is>
          <t>Medium</t>
        </is>
      </c>
      <c r="L20" s="3" t="inlineStr">
        <is>
          <t>新店最需要曝光</t>
        </is>
      </c>
      <c r="M20" s="2" t="inlineStr">
        <is>
          <t>lemon8</t>
        </is>
      </c>
      <c r="N20" s="2" t="inlineStr">
        <is>
          <t>New</t>
        </is>
      </c>
      <c r="O20" s="2" t="inlineStr"/>
    </row>
    <row r="21">
      <c r="A21" s="2" t="inlineStr">
        <is>
          <t>CHR-020</t>
        </is>
      </c>
      <c r="B21" s="2" t="inlineStr">
        <is>
          <t>Pen and Pepper Cafe</t>
        </is>
      </c>
      <c r="C21" s="2" t="inlineStr">
        <is>
          <t>cafe</t>
        </is>
      </c>
      <c r="D21" s="2" t="inlineStr">
        <is>
          <t>cafe</t>
        </is>
      </c>
      <c r="E21" s="2" t="inlineStr">
        <is>
          <t>Bandar Sri Permaisuri</t>
        </is>
      </c>
      <c r="F21" s="3" t="inlineStr">
        <is>
          <t>高颜值cafe</t>
        </is>
      </c>
      <c r="G21" s="2" t="inlineStr"/>
      <c r="H21" s="2" t="inlineStr"/>
      <c r="I21" s="2" t="inlineStr"/>
      <c r="J21" s="2" t="inlineStr"/>
      <c r="K21" s="2" t="inlineStr">
        <is>
          <t>Medium</t>
        </is>
      </c>
      <c r="L21" s="3" t="inlineStr">
        <is>
          <t>环境好拍</t>
        </is>
      </c>
      <c r="M21" s="2" t="inlineStr">
        <is>
          <t>klfoodie</t>
        </is>
      </c>
      <c r="N21" s="2" t="inlineStr">
        <is>
          <t>New</t>
        </is>
      </c>
      <c r="O21" s="2" t="inlineStr"/>
    </row>
    <row r="22">
      <c r="A22" s="2" t="inlineStr">
        <is>
          <t>CHR-021</t>
        </is>
      </c>
      <c r="B22" s="2" t="inlineStr">
        <is>
          <t>Cravings Kitchen &amp; Bistro</t>
        </is>
      </c>
      <c r="C22" s="2" t="inlineStr">
        <is>
          <t>cafe</t>
        </is>
      </c>
      <c r="D22" s="2" t="inlineStr">
        <is>
          <t>bistro</t>
        </is>
      </c>
      <c r="E22" s="2" t="inlineStr">
        <is>
          <t>Cheras</t>
        </is>
      </c>
      <c r="F22" s="3" t="inlineStr">
        <is>
          <t>西餐bistro</t>
        </is>
      </c>
      <c r="G22" s="2" t="inlineStr"/>
      <c r="H22" s="2" t="inlineStr"/>
      <c r="I22" s="2" t="inlineStr"/>
      <c r="J22" s="2" t="inlineStr"/>
      <c r="K22" s="2" t="inlineStr">
        <is>
          <t>Medium</t>
        </is>
      </c>
      <c r="L22" s="3" t="inlineStr">
        <is>
          <t>cafe客群适合营销服务</t>
        </is>
      </c>
      <c r="M22" s="2" t="inlineStr">
        <is>
          <t>yelp</t>
        </is>
      </c>
      <c r="N22" s="2" t="inlineStr">
        <is>
          <t>New</t>
        </is>
      </c>
      <c r="O22" s="2" t="inlineStr"/>
    </row>
    <row r="23">
      <c r="A23" s="2" t="inlineStr">
        <is>
          <t>CHR-022</t>
        </is>
      </c>
      <c r="B23" s="2" t="inlineStr">
        <is>
          <t>Gift Cafe -CCM</t>
        </is>
      </c>
      <c r="C23" s="2" t="inlineStr">
        <is>
          <t>cafe</t>
        </is>
      </c>
      <c r="D23" s="2" t="inlineStr">
        <is>
          <t>cafe</t>
        </is>
      </c>
      <c r="E23" s="2" t="inlineStr">
        <is>
          <t>Cheras</t>
        </is>
      </c>
      <c r="F23" s="3" t="inlineStr">
        <is>
          <t>咖啡</t>
        </is>
      </c>
      <c r="G23" s="2" t="inlineStr"/>
      <c r="H23" s="2" t="inlineStr"/>
      <c r="I23" s="2" t="inlineStr"/>
      <c r="J23" s="2" t="inlineStr"/>
      <c r="K23" s="2" t="inlineStr">
        <is>
          <t>Medium</t>
        </is>
      </c>
      <c r="L23" s="3" t="inlineStr">
        <is>
          <t>cafe客群适合营销服务</t>
        </is>
      </c>
      <c r="M23" s="2" t="inlineStr">
        <is>
          <t>yelp</t>
        </is>
      </c>
      <c r="N23" s="2" t="inlineStr">
        <is>
          <t>New</t>
        </is>
      </c>
      <c r="O23" s="2" t="inlineStr"/>
    </row>
    <row r="24">
      <c r="A24" s="2" t="inlineStr">
        <is>
          <t>CHR-023</t>
        </is>
      </c>
      <c r="B24" s="2" t="inlineStr">
        <is>
          <t>CMW Roastery</t>
        </is>
      </c>
      <c r="C24" s="2" t="inlineStr">
        <is>
          <t>cafe</t>
        </is>
      </c>
      <c r="D24" s="2" t="inlineStr">
        <is>
          <t>roastery</t>
        </is>
      </c>
      <c r="E24" s="2" t="inlineStr">
        <is>
          <t>Cheras</t>
        </is>
      </c>
      <c r="F24" s="3" t="inlineStr">
        <is>
          <t>自家烘焙咖啡</t>
        </is>
      </c>
      <c r="G24" s="2" t="inlineStr"/>
      <c r="H24" s="2" t="inlineStr"/>
      <c r="I24" s="2" t="inlineStr"/>
      <c r="J24" s="2" t="inlineStr"/>
      <c r="K24" s="2" t="inlineStr">
        <is>
          <t>Medium</t>
        </is>
      </c>
      <c r="L24" s="3" t="inlineStr">
        <is>
          <t>有产品故事可讲</t>
        </is>
      </c>
      <c r="M24" s="2" t="inlineStr">
        <is>
          <t>theeveryday</t>
        </is>
      </c>
      <c r="N24" s="2" t="inlineStr">
        <is>
          <t>New</t>
        </is>
      </c>
      <c r="O24" s="2" t="inlineStr"/>
    </row>
    <row r="25">
      <c r="A25" s="2" t="inlineStr">
        <is>
          <t>CHR-024</t>
        </is>
      </c>
      <c r="B25" s="2" t="inlineStr">
        <is>
          <t>Pacific Coffee (Cheras)</t>
        </is>
      </c>
      <c r="C25" s="2" t="inlineStr">
        <is>
          <t>cafe</t>
        </is>
      </c>
      <c r="D25" s="2" t="inlineStr">
        <is>
          <t>chain cafe</t>
        </is>
      </c>
      <c r="E25" s="2" t="inlineStr">
        <is>
          <t>Cheras</t>
        </is>
      </c>
      <c r="F25" s="3" t="inlineStr">
        <is>
          <t>连锁咖啡</t>
        </is>
      </c>
      <c r="G25" s="2" t="inlineStr"/>
      <c r="H25" s="2" t="inlineStr"/>
      <c r="I25" s="2" t="inlineStr"/>
      <c r="J25" s="2" t="inlineStr"/>
      <c r="K25" s="2" t="inlineStr">
        <is>
          <t>Low</t>
        </is>
      </c>
      <c r="L25" s="3" t="inlineStr">
        <is>
          <t>连锁，决策在总部</t>
        </is>
      </c>
      <c r="M25" s="2" t="inlineStr">
        <is>
          <t>yelp</t>
        </is>
      </c>
      <c r="N25" s="2" t="inlineStr">
        <is>
          <t>New</t>
        </is>
      </c>
      <c r="O25" s="2" t="inlineStr"/>
    </row>
    <row r="26">
      <c r="A26" s="2" t="inlineStr">
        <is>
          <t>CHR-025</t>
        </is>
      </c>
      <c r="B26" s="2" t="inlineStr">
        <is>
          <t>NeoJoJo Central Kitchen Sdn Bhd</t>
        </is>
      </c>
      <c r="C26" s="2" t="inlineStr">
        <is>
          <t>b2b central kitchen</t>
        </is>
      </c>
      <c r="D26" s="2" t="inlineStr">
        <is>
          <t>central kitchen</t>
        </is>
      </c>
      <c r="E26" s="2" t="inlineStr">
        <is>
          <t>Cheras</t>
        </is>
      </c>
      <c r="F26" s="3" t="inlineStr">
        <is>
          <t>中央厨房</t>
        </is>
      </c>
      <c r="G26" s="2" t="inlineStr"/>
      <c r="H26" s="2" t="inlineStr"/>
      <c r="I26" s="2" t="inlineStr"/>
      <c r="J26" s="2" t="inlineStr"/>
      <c r="K26" s="4" t="inlineStr">
        <is>
          <t>High</t>
        </is>
      </c>
      <c r="L26" s="3" t="inlineStr">
        <is>
          <t>中央厨房=进出货系统最强刚需</t>
        </is>
      </c>
      <c r="M26" s="2" t="inlineStr">
        <is>
          <t>dnb</t>
        </is>
      </c>
      <c r="N26" s="2" t="inlineStr">
        <is>
          <t>New</t>
        </is>
      </c>
      <c r="O26" s="2" t="inlineStr"/>
    </row>
    <row r="27">
      <c r="A27" s="2" t="inlineStr">
        <is>
          <t>CHR-026</t>
        </is>
      </c>
      <c r="B27" s="2" t="inlineStr">
        <is>
          <t>NeoJoJo Little Kitchen Sdn Bhd</t>
        </is>
      </c>
      <c r="C27" s="2" t="inlineStr">
        <is>
          <t>b2b food</t>
        </is>
      </c>
      <c r="D27" s="2" t="inlineStr">
        <is>
          <t>food production</t>
        </is>
      </c>
      <c r="E27" s="2" t="inlineStr">
        <is>
          <t>Cheras</t>
        </is>
      </c>
      <c r="F27" s="3" t="inlineStr">
        <is>
          <t>食品生产</t>
        </is>
      </c>
      <c r="G27" s="2" t="inlineStr"/>
      <c r="H27" s="2" t="inlineStr"/>
      <c r="I27" s="2" t="inlineStr"/>
      <c r="J27" s="2" t="inlineStr"/>
      <c r="K27" s="2" t="inlineStr">
        <is>
          <t>Medium</t>
        </is>
      </c>
      <c r="L27" s="3" t="inlineStr">
        <is>
          <t>同集团，跟central kitchen一起谈</t>
        </is>
      </c>
      <c r="M27" s="2" t="inlineStr">
        <is>
          <t>dnb</t>
        </is>
      </c>
      <c r="N27" s="2" t="inlineStr">
        <is>
          <t>New</t>
        </is>
      </c>
      <c r="O27" s="2" t="inlineStr"/>
    </row>
    <row r="28">
      <c r="A28" s="2" t="inlineStr">
        <is>
          <t>CHR-027</t>
        </is>
      </c>
      <c r="B28" s="2" t="inlineStr">
        <is>
          <t>Savour Frozen Food Sdn Bhd</t>
        </is>
      </c>
      <c r="C28" s="2" t="inlineStr">
        <is>
          <t>b2b supplier</t>
        </is>
      </c>
      <c r="D28" s="2" t="inlineStr">
        <is>
          <t>frozen food</t>
        </is>
      </c>
      <c r="E28" s="2" t="inlineStr">
        <is>
          <t>Cheras</t>
        </is>
      </c>
      <c r="F28" s="3" t="inlineStr">
        <is>
          <t>冷冻食品批发</t>
        </is>
      </c>
      <c r="G28" s="2" t="inlineStr"/>
      <c r="H28" s="2" t="inlineStr"/>
      <c r="I28" s="2" t="inlineStr"/>
      <c r="J28" s="2" t="inlineStr"/>
      <c r="K28" s="4" t="inlineStr">
        <is>
          <t>High</t>
        </is>
      </c>
      <c r="L28" s="3" t="inlineStr">
        <is>
          <t>库存+出货单系统刚需，客单价比餐厅高</t>
        </is>
      </c>
      <c r="M28" s="2" t="inlineStr">
        <is>
          <t>dnb</t>
        </is>
      </c>
      <c r="N28" s="2" t="inlineStr">
        <is>
          <t>New</t>
        </is>
      </c>
      <c r="O28" s="2" t="inlineStr"/>
    </row>
    <row r="29">
      <c r="A29" s="2" t="inlineStr">
        <is>
          <t>CHR-028</t>
        </is>
      </c>
      <c r="B29" s="2" t="inlineStr">
        <is>
          <t>Hong Chye Frozen Food Supplies</t>
        </is>
      </c>
      <c r="C29" s="2" t="inlineStr">
        <is>
          <t>b2b supplier</t>
        </is>
      </c>
      <c r="D29" s="2" t="inlineStr">
        <is>
          <t>frozen food</t>
        </is>
      </c>
      <c r="E29" s="2" t="inlineStr">
        <is>
          <t>Cheras</t>
        </is>
      </c>
      <c r="F29" s="3" t="inlineStr">
        <is>
          <t>冷冻食品批发</t>
        </is>
      </c>
      <c r="G29" s="2" t="inlineStr"/>
      <c r="H29" s="2" t="inlineStr"/>
      <c r="I29" s="2" t="inlineStr"/>
      <c r="J29" s="2" t="inlineStr"/>
      <c r="K29" s="4" t="inlineStr">
        <is>
          <t>High</t>
        </is>
      </c>
      <c r="L29" s="3" t="inlineStr">
        <is>
          <t>同上</t>
        </is>
      </c>
      <c r="M29" s="2" t="inlineStr">
        <is>
          <t>dnb</t>
        </is>
      </c>
      <c r="N29" s="2" t="inlineStr">
        <is>
          <t>New</t>
        </is>
      </c>
      <c r="O29" s="2" t="inlineStr"/>
    </row>
    <row r="30">
      <c r="A30" s="2" t="inlineStr">
        <is>
          <t>CHR-029</t>
        </is>
      </c>
      <c r="B30" s="2" t="inlineStr">
        <is>
          <t>TY Bakery Ingredient Sdn Bhd</t>
        </is>
      </c>
      <c r="C30" s="2" t="inlineStr">
        <is>
          <t>b2b supplier</t>
        </is>
      </c>
      <c r="D30" s="2" t="inlineStr">
        <is>
          <t>bakery ingredients</t>
        </is>
      </c>
      <c r="E30" s="2" t="inlineStr">
        <is>
          <t>Cheras</t>
        </is>
      </c>
      <c r="F30" s="3" t="inlineStr">
        <is>
          <t>烘焙原料批发</t>
        </is>
      </c>
      <c r="G30" s="2" t="inlineStr"/>
      <c r="H30" s="2" t="inlineStr"/>
      <c r="I30" s="2" t="inlineStr"/>
      <c r="J30" s="2" t="inlineStr"/>
      <c r="K30" s="4" t="inlineStr">
        <is>
          <t>High</t>
        </is>
      </c>
      <c r="L30" s="3" t="inlineStr">
        <is>
          <t>B2B批发，进出货量大</t>
        </is>
      </c>
      <c r="M30" s="2" t="inlineStr">
        <is>
          <t>dnb</t>
        </is>
      </c>
      <c r="N30" s="2" t="inlineStr">
        <is>
          <t>New</t>
        </is>
      </c>
      <c r="O30" s="2" t="inlineStr"/>
    </row>
    <row r="31">
      <c r="A31" s="2" t="inlineStr">
        <is>
          <t>CHR-030</t>
        </is>
      </c>
      <c r="B31" s="2" t="inlineStr">
        <is>
          <t>Seri Medan Bakehouse Sdn Bhd</t>
        </is>
      </c>
      <c r="C31" s="2" t="inlineStr">
        <is>
          <t>b2b bakery</t>
        </is>
      </c>
      <c r="D31" s="2" t="inlineStr">
        <is>
          <t>bakery</t>
        </is>
      </c>
      <c r="E31" s="2" t="inlineStr">
        <is>
          <t>Cheras</t>
        </is>
      </c>
      <c r="F31" s="3" t="inlineStr">
        <is>
          <t>烘焙坊</t>
        </is>
      </c>
      <c r="G31" s="2" t="inlineStr"/>
      <c r="H31" s="2" t="inlineStr"/>
      <c r="I31" s="2" t="inlineStr"/>
      <c r="J31" s="2" t="inlineStr"/>
      <c r="K31" s="2" t="inlineStr">
        <is>
          <t>Medium</t>
        </is>
      </c>
      <c r="L31" s="3" t="inlineStr">
        <is>
          <t>生产+零售两头都要系统</t>
        </is>
      </c>
      <c r="M31" s="2" t="inlineStr">
        <is>
          <t>dnb</t>
        </is>
      </c>
      <c r="N31" s="2" t="inlineStr">
        <is>
          <t>New</t>
        </is>
      </c>
      <c r="O31" s="2" t="inlineStr"/>
    </row>
    <row r="32">
      <c r="A32" s="2" t="inlineStr">
        <is>
          <t>CHR-031</t>
        </is>
      </c>
      <c r="B32" s="2" t="inlineStr">
        <is>
          <t>Polar Ice Cream Sdn Bhd</t>
        </is>
      </c>
      <c r="C32" s="2" t="inlineStr">
        <is>
          <t>b2b manufacturer</t>
        </is>
      </c>
      <c r="D32" s="2" t="inlineStr">
        <is>
          <t>ice cream</t>
        </is>
      </c>
      <c r="E32" s="2" t="inlineStr">
        <is>
          <t>MIEL Industries Estate, Cheras</t>
        </is>
      </c>
      <c r="F32" s="3" t="inlineStr">
        <is>
          <t>冰淇淋厂</t>
        </is>
      </c>
      <c r="G32" s="2" t="inlineStr"/>
      <c r="H32" s="2" t="inlineStr"/>
      <c r="I32" s="2" t="inlineStr"/>
      <c r="J32" s="2" t="inlineStr"/>
      <c r="K32" s="2" t="inlineStr">
        <is>
          <t>Medium</t>
        </is>
      </c>
      <c r="L32" s="3" t="inlineStr">
        <is>
          <t>老牌厂商，决策链较长</t>
        </is>
      </c>
      <c r="M32" s="2" t="inlineStr">
        <is>
          <t>wikipedia</t>
        </is>
      </c>
      <c r="N32" s="2" t="inlineStr">
        <is>
          <t>New</t>
        </is>
      </c>
      <c r="O32" s="2" t="inlineStr"/>
    </row>
    <row r="33">
      <c r="A33" s="2" t="inlineStr">
        <is>
          <t>CHR-032</t>
        </is>
      </c>
      <c r="B33" s="2" t="inlineStr">
        <is>
          <t>Anjung Serai Catering</t>
        </is>
      </c>
      <c r="C33" s="2" t="inlineStr">
        <is>
          <t>b2b catering</t>
        </is>
      </c>
      <c r="D33" s="2" t="inlineStr">
        <is>
          <t>catering</t>
        </is>
      </c>
      <c r="E33" s="2" t="inlineStr">
        <is>
          <t>Cheras</t>
        </is>
      </c>
      <c r="F33" s="3" t="inlineStr">
        <is>
          <t>马来餐catering</t>
        </is>
      </c>
      <c r="G33" s="2" t="inlineStr"/>
      <c r="H33" s="2" t="inlineStr"/>
      <c r="I33" s="2" t="inlineStr"/>
      <c r="J33" s="2" t="inlineStr"/>
      <c r="K33" s="4" t="inlineStr">
        <is>
          <t>High</t>
        </is>
      </c>
      <c r="L33" s="3" t="inlineStr">
        <is>
          <t>catering订单+食材成本管理刚需</t>
        </is>
      </c>
      <c r="M33" s="2" t="inlineStr">
        <is>
          <t>infoisinfo</t>
        </is>
      </c>
      <c r="N33" s="2" t="inlineStr">
        <is>
          <t>New</t>
        </is>
      </c>
      <c r="O33" s="2" t="inlineStr"/>
    </row>
    <row r="34">
      <c r="A34" s="2" t="inlineStr">
        <is>
          <t>CHR-033</t>
        </is>
      </c>
      <c r="B34" s="2" t="inlineStr">
        <is>
          <t>Century Caterers Sdn Bhd</t>
        </is>
      </c>
      <c r="C34" s="2" t="inlineStr">
        <is>
          <t>b2b catering</t>
        </is>
      </c>
      <c r="D34" s="2" t="inlineStr">
        <is>
          <t>catering</t>
        </is>
      </c>
      <c r="E34" s="2" t="inlineStr">
        <is>
          <t>Cheras</t>
        </is>
      </c>
      <c r="F34" s="3" t="inlineStr">
        <is>
          <t>catering</t>
        </is>
      </c>
      <c r="G34" s="2" t="inlineStr"/>
      <c r="H34" s="2" t="inlineStr"/>
      <c r="I34" s="2" t="inlineStr"/>
      <c r="J34" s="2" t="inlineStr"/>
      <c r="K34" s="4" t="inlineStr">
        <is>
          <t>High</t>
        </is>
      </c>
      <c r="L34" s="3" t="inlineStr">
        <is>
          <t>同上</t>
        </is>
      </c>
      <c r="M34" s="2" t="inlineStr">
        <is>
          <t>infoisinfo</t>
        </is>
      </c>
      <c r="N34" s="2" t="inlineStr">
        <is>
          <t>New</t>
        </is>
      </c>
      <c r="O34" s="2" t="inlineStr"/>
    </row>
    <row r="35">
      <c r="A35" s="2" t="inlineStr">
        <is>
          <t>CHR-034</t>
        </is>
      </c>
      <c r="B35" s="2" t="inlineStr">
        <is>
          <t>Buvana Supermart Sdn Bhd</t>
        </is>
      </c>
      <c r="C35" s="2" t="inlineStr">
        <is>
          <t>b2b retail</t>
        </is>
      </c>
      <c r="D35" s="2" t="inlineStr">
        <is>
          <t>supermart</t>
        </is>
      </c>
      <c r="E35" s="2" t="inlineStr">
        <is>
          <t>Cheras</t>
        </is>
      </c>
      <c r="F35" s="3" t="inlineStr">
        <is>
          <t>超市</t>
        </is>
      </c>
      <c r="G35" s="2" t="inlineStr"/>
      <c r="H35" s="2" t="inlineStr"/>
      <c r="I35" s="2" t="inlineStr"/>
      <c r="J35" s="2" t="inlineStr"/>
      <c r="K35" s="4" t="inlineStr">
        <is>
          <t>High</t>
        </is>
      </c>
      <c r="L35" s="3" t="inlineStr">
        <is>
          <t>进出货系统天然刚需</t>
        </is>
      </c>
      <c r="M35" s="2" t="inlineStr">
        <is>
          <t>dnb</t>
        </is>
      </c>
      <c r="N35" s="2" t="inlineStr">
        <is>
          <t>New</t>
        </is>
      </c>
      <c r="O35" s="2" t="inlineStr"/>
    </row>
    <row r="36">
      <c r="A36" s="2" t="inlineStr">
        <is>
          <t>CHR-035</t>
        </is>
      </c>
      <c r="B36" s="2" t="inlineStr">
        <is>
          <t>Food &amp; Fruits Delight Sdn Bhd</t>
        </is>
      </c>
      <c r="C36" s="2" t="inlineStr">
        <is>
          <t>b2b retail</t>
        </is>
      </c>
      <c r="D36" s="2" t="inlineStr">
        <is>
          <t>fruits/food</t>
        </is>
      </c>
      <c r="E36" s="2" t="inlineStr">
        <is>
          <t>Cheras</t>
        </is>
      </c>
      <c r="F36" s="3" t="inlineStr">
        <is>
          <t>食品水果</t>
        </is>
      </c>
      <c r="G36" s="2" t="inlineStr"/>
      <c r="H36" s="2" t="inlineStr"/>
      <c r="I36" s="2" t="inlineStr"/>
      <c r="J36" s="2" t="inlineStr"/>
      <c r="K36" s="2" t="inlineStr">
        <is>
          <t>Medium</t>
        </is>
      </c>
      <c r="L36" s="3" t="inlineStr">
        <is>
          <t>生鲜损耗管理可当卖点</t>
        </is>
      </c>
      <c r="M36" s="2" t="inlineStr">
        <is>
          <t>dnb</t>
        </is>
      </c>
      <c r="N36" s="2" t="inlineStr">
        <is>
          <t>New</t>
        </is>
      </c>
      <c r="O36" s="2" t="inlineStr"/>
    </row>
  </sheetData>
  <autoFilter ref="A1:O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8" customWidth="1" min="5" max="5"/>
    <col width="52" customWidth="1" min="6" max="6"/>
  </cols>
  <sheetData>
    <row r="1">
      <c r="A1" s="5" t="inlineStr">
        <is>
          <t>12个月成绩目标（芙蓉 + Cheras）</t>
        </is>
      </c>
    </row>
    <row r="3">
      <c r="A3" s="6" t="inlineStr">
        <is>
          <t>假设（蓝色=可以自己改）</t>
        </is>
      </c>
    </row>
    <row r="4">
      <c r="A4" s="7" t="inlineStr">
        <is>
          <t>平均月费 (RM)</t>
        </is>
      </c>
      <c r="B4" s="8" t="n">
        <v>1380</v>
      </c>
    </row>
    <row r="5">
      <c r="A5" s="7" t="inlineStr">
        <is>
          <t>平均 Setup Fee (RM)</t>
        </is>
      </c>
      <c r="B5" s="8" t="n">
        <v>2000</v>
      </c>
    </row>
    <row r="6">
      <c r="A6" s="7" t="inlineStr">
        <is>
          <t>首月体验价 (RM)</t>
        </is>
      </c>
      <c r="B6" s="8" t="n">
        <v>499</v>
      </c>
    </row>
    <row r="8">
      <c r="A8" s="9" t="inlineStr">
        <is>
          <t>月份末</t>
        </is>
      </c>
      <c r="B8" s="9" t="inlineStr">
        <is>
          <t>目标累计客户数</t>
        </is>
      </c>
      <c r="C8" s="9" t="inlineStr">
        <is>
          <t>当月新签客户</t>
        </is>
      </c>
      <c r="D8" s="9" t="inlineStr">
        <is>
          <t>预计MRR (RM)</t>
        </is>
      </c>
      <c r="E8" s="9" t="inlineStr">
        <is>
          <t>当月Setup收入 (RM)</t>
        </is>
      </c>
      <c r="F8" s="9" t="inlineStr">
        <is>
          <t>里程碑</t>
        </is>
      </c>
    </row>
    <row r="9">
      <c r="A9" s="10" t="inlineStr">
        <is>
          <t>第1月</t>
        </is>
      </c>
      <c r="B9" s="11" t="n">
        <v>2</v>
      </c>
      <c r="C9" s="11" t="n">
        <v>2</v>
      </c>
      <c r="D9" s="12">
        <f>B9*$B$4</f>
        <v/>
      </c>
      <c r="E9" s="12">
        <f>C9*$B$5</f>
        <v/>
      </c>
      <c r="F9" s="10" t="inlineStr">
        <is>
          <t>开张：2个体验价客户（各免费送1条视频开路）</t>
        </is>
      </c>
    </row>
    <row r="10">
      <c r="A10" s="10" t="inlineStr">
        <is>
          <t>第2月</t>
        </is>
      </c>
      <c r="B10" s="11" t="n">
        <v>4</v>
      </c>
      <c r="C10" s="11" t="n">
        <v>2</v>
      </c>
      <c r="D10" s="12">
        <f>B10*$B$4</f>
        <v/>
      </c>
      <c r="E10" s="12">
        <f>C10*$B$5</f>
        <v/>
      </c>
      <c r="F10" s="10" t="inlineStr">
        <is>
          <t>转介绍开始，芙蓉站稳</t>
        </is>
      </c>
    </row>
    <row r="11">
      <c r="A11" s="10" t="inlineStr">
        <is>
          <t>第3月</t>
        </is>
      </c>
      <c r="B11" s="11" t="n">
        <v>6</v>
      </c>
      <c r="C11" s="11" t="n">
        <v>2</v>
      </c>
      <c r="D11" s="12">
        <f>B11*$B$4</f>
        <v/>
      </c>
      <c r="E11" s="12">
        <f>C11*$B$5</f>
        <v/>
      </c>
      <c r="F11" s="10" t="inlineStr">
        <is>
          <t>第一批客户升级标准包</t>
        </is>
      </c>
    </row>
    <row r="12">
      <c r="A12" s="10" t="inlineStr">
        <is>
          <t>第4月</t>
        </is>
      </c>
      <c r="B12" s="11" t="n">
        <v>8</v>
      </c>
      <c r="C12" s="11" t="n">
        <v>2</v>
      </c>
      <c r="D12" s="12">
        <f>B12*$B$4</f>
        <v/>
      </c>
      <c r="E12" s="12">
        <f>C12*$B$5</f>
        <v/>
      </c>
      <c r="F12" s="10" t="inlineStr">
        <is>
          <t>开进Cheras（B2B供应商客单价更高）</t>
        </is>
      </c>
    </row>
    <row r="13">
      <c r="A13" s="10" t="inlineStr">
        <is>
          <t>第6月</t>
        </is>
      </c>
      <c r="B13" s="11" t="n">
        <v>12</v>
      </c>
      <c r="C13" s="11" t="n">
        <v>4</v>
      </c>
      <c r="D13" s="12">
        <f>B13*$B$4</f>
        <v/>
      </c>
      <c r="E13" s="12">
        <f>C13*$B$5</f>
        <v/>
      </c>
      <c r="F13" s="10" t="inlineStr">
        <is>
          <t>MRR过RM16k，请第一个剪辑师</t>
        </is>
      </c>
    </row>
    <row r="14">
      <c r="A14" s="10" t="inlineStr">
        <is>
          <t>第9月</t>
        </is>
      </c>
      <c r="B14" s="11" t="n">
        <v>18</v>
      </c>
      <c r="C14" s="11" t="n">
        <v>6</v>
      </c>
      <c r="D14" s="12">
        <f>B14*$B$4</f>
        <v/>
      </c>
      <c r="E14" s="12">
        <f>C14*$B$5</f>
        <v/>
      </c>
      <c r="F14" s="10" t="inlineStr">
        <is>
          <t>两区各有招牌案例客户</t>
        </is>
      </c>
    </row>
    <row r="15">
      <c r="A15" s="10" t="inlineStr">
        <is>
          <t>第12月</t>
        </is>
      </c>
      <c r="B15" s="11" t="n">
        <v>25</v>
      </c>
      <c r="C15" s="11" t="n">
        <v>7</v>
      </c>
      <c r="D15" s="12">
        <f>B15*$B$4</f>
        <v/>
      </c>
      <c r="E15" s="12">
        <f>C15*$B$5</f>
        <v/>
      </c>
      <c r="F15" s="10" t="inlineStr">
        <is>
          <t>MRR过RM34k，可开始做第三个区</t>
        </is>
      </c>
    </row>
    <row r="17">
      <c r="A17" s="13" t="inlineStr">
        <is>
          <t>注：MRR=累计客户×平均月费；实际前2个月按体验价收，MRR会略低。数字是目标不是保证——每月检讨一次。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0" customWidth="1" min="4" max="4"/>
    <col width="16" customWidth="1" min="5" max="5"/>
    <col width="10" customWidth="1" min="6" max="6"/>
    <col width="10" customWidth="1" min="7" max="7"/>
    <col width="13" customWidth="1" min="8" max="8"/>
    <col width="11" customWidth="1" min="9" max="9"/>
    <col width="40" customWidth="1" min="10" max="10"/>
  </cols>
  <sheetData>
    <row r="1">
      <c r="A1" s="5" t="inlineStr">
        <is>
          <t>成绩追踪（每谈一家就记一行；黄色格自动算，不用动）</t>
        </is>
      </c>
    </row>
    <row r="3">
      <c r="A3" s="6" t="inlineStr">
        <is>
          <t>已签客户数</t>
        </is>
      </c>
      <c r="C3" s="6" t="inlineStr">
        <is>
          <t>目前MRR (RM)</t>
        </is>
      </c>
      <c r="E3" s="6" t="inlineStr">
        <is>
          <t>累计Setup收入 (RM)</t>
        </is>
      </c>
      <c r="G3" s="6" t="inlineStr">
        <is>
          <t>谈过总数</t>
        </is>
      </c>
    </row>
    <row r="4">
      <c r="A4" s="14">
        <f>COUNTIF($F$7:$F$500,"Closed")</f>
        <v/>
      </c>
      <c r="C4" s="14">
        <f>SUMIF($F$7:$F$500,"Closed",$I$7:$I$500)</f>
        <v/>
      </c>
      <c r="E4" s="14">
        <f>SUMIF($F$7:$F$500,"Closed",$H$7:$H$500)</f>
        <v/>
      </c>
      <c r="G4" s="14">
        <f>COUNTA($B$7:$B$500)</f>
        <v/>
      </c>
    </row>
    <row r="5">
      <c r="A5" s="13" t="inlineStr">
        <is>
          <t>「结果」一栏只能填：Contacted / Demo / Closed / Lost（汇总公式认 Closed）</t>
        </is>
      </c>
    </row>
    <row r="6">
      <c r="A6" s="9" t="inlineStr">
        <is>
          <t>日期</t>
        </is>
      </c>
      <c r="B6" s="9" t="inlineStr">
        <is>
          <t>区域</t>
        </is>
      </c>
      <c r="C6" s="9" t="inlineStr">
        <is>
          <t>lead_id</t>
        </is>
      </c>
      <c r="D6" s="9" t="inlineStr">
        <is>
          <t>店名/公司</t>
        </is>
      </c>
      <c r="E6" s="9" t="inlineStr">
        <is>
          <t>谈到哪一步</t>
        </is>
      </c>
      <c r="F6" s="9" t="inlineStr">
        <is>
          <t>结果</t>
        </is>
      </c>
      <c r="G6" s="9" t="inlineStr">
        <is>
          <t>套餐</t>
        </is>
      </c>
      <c r="H6" s="9" t="inlineStr">
        <is>
          <t>Setup费 (RM)</t>
        </is>
      </c>
      <c r="I6" s="9" t="inlineStr">
        <is>
          <t>月费 (RM)</t>
        </is>
      </c>
      <c r="J6" s="9" t="inlineStr">
        <is>
          <t>备注</t>
        </is>
      </c>
    </row>
    <row r="7">
      <c r="A7" s="15" t="inlineStr">
        <is>
          <t>2026-08-05</t>
        </is>
      </c>
      <c r="B7" s="15" t="inlineStr">
        <is>
          <t>Seremban</t>
        </is>
      </c>
      <c r="C7" s="15" t="inlineStr">
        <is>
          <t>SRB-041</t>
        </is>
      </c>
      <c r="D7" s="15" t="inlineStr">
        <is>
          <t>Lucky King Bun</t>
        </is>
      </c>
      <c r="E7" s="15" t="inlineStr">
        <is>
          <t>Demo后成交</t>
        </is>
      </c>
      <c r="F7" s="15" t="inlineStr">
        <is>
          <t>Closed</t>
        </is>
      </c>
      <c r="G7" s="15" t="inlineStr">
        <is>
          <t>入门包</t>
        </is>
      </c>
      <c r="H7" s="16" t="n">
        <v>1500</v>
      </c>
      <c r="I7" s="16" t="n">
        <v>680</v>
      </c>
      <c r="J7" s="15" t="inlineStr">
        <is>
          <t>示范行：首月体验价RM499，之后RM680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7" t="inlineStr">
        <is>
          <t>Cheras 潜在客户名单 + 成绩目标 + 成绩追踪</t>
        </is>
      </c>
    </row>
    <row r="2">
      <c r="A2" s="7" t="inlineStr"/>
    </row>
    <row r="3">
      <c r="A3" s="7" t="inlineStr">
        <is>
          <t>Leads：35个潜在客户，2026-08网络调研整理（OpenRice/Yelp/KL Foodie/D&amp;B等）。</t>
        </is>
      </c>
    </row>
    <row r="4">
      <c r="A4" s="7" t="inlineStr">
        <is>
          <t xml:space="preserve">  这次多了 segment 栏：restaurant/cafe 之外还有 b2b supplier / catering /</t>
        </is>
      </c>
    </row>
    <row r="5">
      <c r="A5" s="7" t="inlineStr">
        <is>
          <t xml:space="preserve">  central kitchen / retail —— B2B食品公司进出货量大、付费能力比餐厅强，</t>
        </is>
      </c>
    </row>
    <row r="6">
      <c r="A6" s="7" t="inlineStr">
        <is>
          <t xml:space="preserve">  卖的是同一套系统，客单价可以开1.5~2倍。</t>
        </is>
      </c>
    </row>
    <row r="7">
      <c r="A7" s="7" t="inlineStr">
        <is>
          <t xml:space="preserve">  phone/website 留空，在你电脑跑 scraper 补齐：</t>
        </is>
      </c>
    </row>
    <row r="8">
      <c r="A8" s="7" t="inlineStr">
        <is>
          <t xml:space="preserve">    python scraper/scrape_seremban_restaurants.py --city cheras --source google</t>
        </is>
      </c>
    </row>
    <row r="9">
      <c r="A9" s="7" t="inlineStr"/>
    </row>
    <row r="10">
      <c r="A10" s="7" t="inlineStr">
        <is>
          <t>成绩目标：12个月路线图。蓝色/黄色格是假设，可自己改，MRR自动重算。</t>
        </is>
      </c>
    </row>
    <row r="11">
      <c r="A11" s="7" t="inlineStr">
        <is>
          <t>成绩追踪：每谈一家记一行，顶部黄色格自动汇总客户数/MRR/Setup收入。</t>
        </is>
      </c>
    </row>
    <row r="12">
      <c r="A12" s="7" t="inlineStr">
        <is>
          <t xml:space="preserve">  第7行是灰色示范行，看懂格式后可删掉。</t>
        </is>
      </c>
    </row>
    <row r="13">
      <c r="A13" s="7" t="inlineStr"/>
    </row>
    <row r="14">
      <c r="A14" s="7" t="inlineStr">
        <is>
          <t>先跑 priority=High 的15家。B2B公司用上班时间谈，餐厅避开饭点。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2026-08-02T20:34:34Z</dcterms:created>
  <dcterms:modified xsi:type="dcterms:W3CDTF">2026-08-02T20:34:34Z</dcterms:modified>
</cp:coreProperties>
</file>