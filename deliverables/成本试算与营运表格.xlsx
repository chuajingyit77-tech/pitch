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说明" sheetId="1" state="visible" r:id="rId3"/>
    <sheet name="原料价格" sheetId="2" state="visible" r:id="rId4"/>
    <sheet name="SKU成本卡" sheetId="3" state="visible" r:id="rId5"/>
    <sheet name="保本线" sheetId="4" state="visible" r:id="rId6"/>
    <sheet name="餐车单日P&amp;L" sheetId="5" state="visible" r:id="rId7"/>
    <sheet name="场地评分档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<sst xmlns="http://schemas.openxmlformats.org/spreadsheetml/2006/main" count="149" uniqueCount="115">
  <si>
    <t xml:space="preserve">成本试算与营运表格 · 使用说明</t>
  </si>
  <si>
    <r>
      <rPr>
        <sz val="10"/>
        <color rgb="FF000000"/>
        <rFont val="Arial"/>
        <family val="0"/>
        <charset val="1"/>
      </rPr>
      <t xml:space="preserve">1. </t>
    </r>
    <r>
      <rPr>
        <sz val="10"/>
        <color rgb="FF000000"/>
        <rFont val="WenQuanYi Zen Hei"/>
        <family val="2"/>
      </rPr>
      <t xml:space="preserve">蓝色字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黄色底 的格子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你要填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可以改的数字（进货价、售价、费用）。其他格子全是公式，不要动。</t>
    </r>
  </si>
  <si>
    <r>
      <rPr>
        <sz val="10"/>
        <color rgb="FF000000"/>
        <rFont val="Arial"/>
        <family val="0"/>
        <charset val="1"/>
      </rPr>
      <t xml:space="preserve">2. </t>
    </r>
    <r>
      <rPr>
        <sz val="10"/>
        <color rgb="FF000000"/>
        <rFont val="WenQuanYi Zen Hei"/>
        <family val="2"/>
      </rPr>
      <t xml:space="preserve">先到「原料价格」把每项换成你的真实进货价，「</t>
    </r>
    <r>
      <rPr>
        <sz val="10"/>
        <color rgb="FF000000"/>
        <rFont val="Arial"/>
        <family val="0"/>
        <charset val="1"/>
      </rPr>
      <t xml:space="preserve">SKU</t>
    </r>
    <r>
      <rPr>
        <sz val="10"/>
        <color rgb="FF000000"/>
        <rFont val="WenQuanYi Zen Hei"/>
        <family val="2"/>
      </rPr>
      <t xml:space="preserve">成本卡」和「保本线」会自动重算。</t>
    </r>
  </si>
  <si>
    <r>
      <rPr>
        <sz val="10"/>
        <color rgb="FF000000"/>
        <rFont val="Arial"/>
        <family val="0"/>
        <charset val="1"/>
      </rPr>
      <t xml:space="preserve">3. 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SKU</t>
    </r>
    <r>
      <rPr>
        <sz val="10"/>
        <color rgb="FF000000"/>
        <rFont val="WenQuanYi Zen Hei"/>
        <family val="2"/>
      </rPr>
      <t xml:space="preserve">成本卡」看两个数：</t>
    </r>
    <r>
      <rPr>
        <sz val="10"/>
        <color rgb="FF000000"/>
        <rFont val="Arial"/>
        <family val="0"/>
        <charset val="1"/>
      </rPr>
      <t xml:space="preserve">Food Cost % </t>
    </r>
    <r>
      <rPr>
        <sz val="10"/>
        <color rgb="FF000000"/>
        <rFont val="WenQuanYi Zen Hei"/>
        <family val="2"/>
      </rPr>
      <t xml:space="preserve">超过 </t>
    </r>
    <r>
      <rPr>
        <sz val="10"/>
        <color rgb="FF000000"/>
        <rFont val="Arial"/>
        <family val="0"/>
        <charset val="1"/>
      </rPr>
      <t xml:space="preserve">35% </t>
    </r>
    <r>
      <rPr>
        <sz val="10"/>
        <color rgb="FF000000"/>
        <rFont val="WenQuanYi Zen Hei"/>
        <family val="2"/>
      </rPr>
      <t xml:space="preserve">的套装要么提价、要么减料。</t>
    </r>
  </si>
  <si>
    <r>
      <rPr>
        <sz val="10"/>
        <color rgb="FF000000"/>
        <rFont val="Arial"/>
        <family val="0"/>
        <charset val="1"/>
      </rPr>
      <t xml:space="preserve">4. </t>
    </r>
    <r>
      <rPr>
        <sz val="10"/>
        <color rgb="FF000000"/>
        <rFont val="WenQuanYi Zen Hei"/>
        <family val="2"/>
      </rPr>
      <t xml:space="preserve">「保本线」告诉你：档口每天至少卖多少单、餐车一场至少做多少营业额才不亏。</t>
    </r>
  </si>
  <si>
    <r>
      <rPr>
        <sz val="10"/>
        <color rgb="FF000000"/>
        <rFont val="Arial"/>
        <family val="0"/>
        <charset val="1"/>
      </rPr>
      <t xml:space="preserve">5. </t>
    </r>
    <r>
      <rPr>
        <sz val="10"/>
        <color rgb="FF000000"/>
        <rFont val="WenQuanYi Zen Hei"/>
        <family val="2"/>
      </rPr>
      <t xml:space="preserve">「餐车单日</t>
    </r>
    <r>
      <rPr>
        <sz val="10"/>
        <color rgb="FF000000"/>
        <rFont val="Arial"/>
        <family val="0"/>
        <charset val="1"/>
      </rPr>
      <t xml:space="preserve">P&amp;L</t>
    </r>
    <r>
      <rPr>
        <sz val="10"/>
        <color rgb="FF000000"/>
        <rFont val="WenQuanYi Zen Hei"/>
        <family val="2"/>
      </rPr>
      <t xml:space="preserve">」每场收车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WenQuanYi Zen Hei"/>
        <family val="2"/>
      </rPr>
      <t xml:space="preserve">分钟内填完；「场地评分档」同场累计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级就拉黑该场地。</t>
    </r>
  </si>
  <si>
    <r>
      <rPr>
        <sz val="10"/>
        <color rgb="FF000000"/>
        <rFont val="Arial"/>
        <family val="0"/>
        <charset val="1"/>
      </rPr>
      <t xml:space="preserve">6. </t>
    </r>
    <r>
      <rPr>
        <sz val="10"/>
        <color rgb="FF000000"/>
        <rFont val="WenQuanYi Zen Hei"/>
        <family val="2"/>
      </rPr>
      <t xml:space="preserve">当前所有价格为估算占位值（来源：本计划书 </t>
    </r>
    <r>
      <rPr>
        <sz val="10"/>
        <color rgb="FF000000"/>
        <rFont val="Arial"/>
        <family val="0"/>
        <charset val="1"/>
      </rPr>
      <t xml:space="preserve">01 </t>
    </r>
    <r>
      <rPr>
        <sz val="10"/>
        <color rgb="FF000000"/>
        <rFont val="WenQuanYi Zen Hei"/>
        <family val="2"/>
      </rPr>
      <t xml:space="preserve">文档的市场估价，</t>
    </r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WenQuanYi Zen Hei"/>
        <family val="2"/>
      </rPr>
      <t xml:space="preserve">），务必换成真实值后再做定价决策。</t>
    </r>
  </si>
  <si>
    <t xml:space="preserve">原料价格表（全部换成你的真实进货价）</t>
  </si>
  <si>
    <t xml:space="preserve">项目</t>
  </si>
  <si>
    <t xml:space="preserve">单位</t>
  </si>
  <si>
    <t xml:space="preserve">单价</t>
  </si>
  <si>
    <t xml:space="preserve">备注</t>
  </si>
  <si>
    <t xml:space="preserve">无骨鸡腿肉</t>
  </si>
  <si>
    <t xml:space="preserve">/kg</t>
  </si>
  <si>
    <t xml:space="preserve">去骨腿肉，按批发价</t>
  </si>
  <si>
    <t xml:space="preserve">腌料成本</t>
  </si>
  <si>
    <r>
      <rPr>
        <sz val="10"/>
        <color rgb="FF000000"/>
        <rFont val="Arial"/>
        <family val="0"/>
        <charset val="1"/>
      </rPr>
      <t xml:space="preserve">/kg</t>
    </r>
    <r>
      <rPr>
        <sz val="10"/>
        <color rgb="FF000000"/>
        <rFont val="WenQuanYi Zen Hei"/>
        <family val="2"/>
      </rPr>
      <t xml:space="preserve">鸡</t>
    </r>
  </si>
  <si>
    <t xml:space="preserve">特别腌制配方，按每公斤鸡摊算</t>
  </si>
  <si>
    <t xml:space="preserve">粉浆/炸粉</t>
  </si>
  <si>
    <t xml:space="preserve">两次裹粉用量摊算</t>
  </si>
  <si>
    <t xml:space="preserve">炸油损耗</t>
  </si>
  <si>
    <t xml:space="preserve">含中央厨房一炸+前线二炸</t>
  </si>
  <si>
    <t xml:space="preserve">鸭屎香芥末酱</t>
  </si>
  <si>
    <t xml:space="preserve">独家招牌，不外卖配方</t>
  </si>
  <si>
    <t xml:space="preserve">火鸡面酱</t>
  </si>
  <si>
    <t xml:space="preserve">现有配方</t>
  </si>
  <si>
    <t xml:space="preserve">原味芝士酱</t>
  </si>
  <si>
    <t xml:space="preserve">麻辣芝士酱</t>
  </si>
  <si>
    <t xml:space="preserve">松露芝士酱</t>
  </si>
  <si>
    <t xml:space="preserve">椒盐粉</t>
  </si>
  <si>
    <t xml:space="preserve">麻辣粉</t>
  </si>
  <si>
    <t xml:space="preserve">甘梅粉</t>
  </si>
  <si>
    <t xml:space="preserve">黑松露粉</t>
  </si>
  <si>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WenQuanYi Zen Hei"/>
        <family val="2"/>
      </rPr>
      <t xml:space="preserve">撒粉</t>
    </r>
  </si>
  <si>
    <t xml:space="preserve">炸蒜酥</t>
  </si>
  <si>
    <t xml:space="preserve">炸葱头酥</t>
  </si>
  <si>
    <t xml:space="preserve">辣椒干</t>
  </si>
  <si>
    <t xml:space="preserve">咖喱叶(炸后)</t>
  </si>
  <si>
    <t xml:space="preserve">包装(杯+签+袋)</t>
  </si>
  <si>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份</t>
    </r>
  </si>
  <si>
    <t xml:space="preserve">自制饮料成本</t>
  </si>
  <si>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杯</t>
    </r>
  </si>
  <si>
    <t xml:space="preserve">糖浆+杯+冰摊算</t>
  </si>
  <si>
    <r>
      <rPr>
        <b val="true"/>
        <sz val="13"/>
        <rFont val="Arial"/>
        <family val="0"/>
        <charset val="1"/>
      </rPr>
      <t xml:space="preserve">SKU </t>
    </r>
    <r>
      <rPr>
        <b val="true"/>
        <sz val="13"/>
        <rFont val="WenQuanYi Zen Hei"/>
        <family val="2"/>
      </rPr>
      <t xml:space="preserve">成本卡（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WenQuanYi Zen Hei"/>
        <family val="2"/>
      </rPr>
      <t xml:space="preserve">杯 </t>
    </r>
    <r>
      <rPr>
        <b val="true"/>
        <sz val="13"/>
        <rFont val="Arial"/>
        <family val="0"/>
        <charset val="1"/>
      </rPr>
      <t xml:space="preserve">· </t>
    </r>
    <r>
      <rPr>
        <b val="true"/>
        <sz val="13"/>
        <rFont val="WenQuanYi Zen Hei"/>
        <family val="2"/>
      </rPr>
      <t xml:space="preserve">生肉 </t>
    </r>
    <r>
      <rPr>
        <b val="true"/>
        <sz val="13"/>
        <rFont val="Arial"/>
        <family val="0"/>
        <charset val="1"/>
      </rPr>
      <t xml:space="preserve">220g</t>
    </r>
    <r>
      <rPr>
        <b val="true"/>
        <sz val="13"/>
        <rFont val="WenQuanYi Zen Hei"/>
        <family val="2"/>
      </rPr>
      <t xml:space="preserve">）— 改「原料价格」或黄色格，其余自动算</t>
    </r>
  </si>
  <si>
    <t xml:space="preserve">用量假设（可改）</t>
  </si>
  <si>
    <t xml:space="preserve">鸡肉用量 kg/杯(M)</t>
  </si>
  <si>
    <t xml:space="preserve">酱用量 kg/杯</t>
  </si>
  <si>
    <t xml:space="preserve">粉用量 kg/杯</t>
  </si>
  <si>
    <t xml:space="preserve">配料用量 kg/样</t>
  </si>
  <si>
    <t xml:space="preserve">鸡底成本/杯(M) =</t>
  </si>
  <si>
    <r>
      <rPr>
        <i val="true"/>
        <sz val="9"/>
        <rFont val="WenQuanYi Zen Hei"/>
        <family val="2"/>
      </rPr>
      <t xml:space="preserve">鸡肉</t>
    </r>
    <r>
      <rPr>
        <i val="true"/>
        <sz val="9"/>
        <rFont val="Arial"/>
        <family val="0"/>
        <charset val="1"/>
      </rPr>
      <t xml:space="preserve">+</t>
    </r>
    <r>
      <rPr>
        <i val="true"/>
        <sz val="9"/>
        <rFont val="WenQuanYi Zen Hei"/>
        <family val="2"/>
      </rPr>
      <t xml:space="preserve">腌料</t>
    </r>
    <r>
      <rPr>
        <i val="true"/>
        <sz val="9"/>
        <rFont val="Arial"/>
        <family val="0"/>
        <charset val="1"/>
      </rPr>
      <t xml:space="preserve">+</t>
    </r>
    <r>
      <rPr>
        <i val="true"/>
        <sz val="9"/>
        <rFont val="WenQuanYi Zen Hei"/>
        <family val="2"/>
      </rPr>
      <t xml:space="preserve">粉浆</t>
    </r>
    <r>
      <rPr>
        <i val="true"/>
        <sz val="9"/>
        <rFont val="Arial"/>
        <family val="0"/>
        <charset val="1"/>
      </rPr>
      <t xml:space="preserve">+</t>
    </r>
    <r>
      <rPr>
        <i val="true"/>
        <sz val="9"/>
        <rFont val="WenQuanYi Zen Hei"/>
        <family val="2"/>
      </rPr>
      <t xml:space="preserve">油耗 合计单价 </t>
    </r>
    <r>
      <rPr>
        <i val="true"/>
        <sz val="9"/>
        <rFont val="Arial"/>
        <family val="0"/>
        <charset val="1"/>
      </rPr>
      <t xml:space="preserve">× </t>
    </r>
    <r>
      <rPr>
        <i val="true"/>
        <sz val="9"/>
        <rFont val="WenQuanYi Zen Hei"/>
        <family val="2"/>
      </rPr>
      <t xml:space="preserve">用量</t>
    </r>
  </si>
  <si>
    <t xml:space="preserve">套装</t>
  </si>
  <si>
    <t xml:space="preserve">鸡底</t>
  </si>
  <si>
    <t xml:space="preserve">酱</t>
  </si>
  <si>
    <t xml:space="preserve">粉</t>
  </si>
  <si>
    <t xml:space="preserve">配料</t>
  </si>
  <si>
    <t xml:space="preserve">包装</t>
  </si>
  <si>
    <t xml:space="preserve">总成本</t>
  </si>
  <si>
    <t xml:space="preserve">售价</t>
  </si>
  <si>
    <t xml:space="preserve">Food Cost %</t>
  </si>
  <si>
    <t xml:space="preserve">毛利/杯</t>
  </si>
  <si>
    <t xml:space="preserve">日销(杯)</t>
  </si>
  <si>
    <t xml:space="preserve">日毛利</t>
  </si>
  <si>
    <t xml:space="preserve">招牌鸭屎香芥末鸡</t>
  </si>
  <si>
    <t xml:space="preserve">0</t>
  </si>
  <si>
    <t xml:space="preserve">火鸡面芝士鸡(双酱)</t>
  </si>
  <si>
    <t xml:space="preserve">黑松露芝士鸡</t>
  </si>
  <si>
    <t xml:space="preserve">麻辣香脆鸡</t>
  </si>
  <si>
    <t xml:space="preserve">甘梅古早味</t>
  </si>
  <si>
    <t xml:space="preserve">饮料(combo 加购)</t>
  </si>
  <si>
    <t xml:space="preserve">合计 / 加权</t>
  </si>
  <si>
    <t xml:space="preserve">加权综合毛利率 =</t>
  </si>
  <si>
    <t xml:space="preserve">← 保本线用这个数</t>
  </si>
  <si>
    <t xml:space="preserve">保本线计算（黄色格填真实费用）</t>
  </si>
  <si>
    <t xml:space="preserve">① 档口（月度）</t>
  </si>
  <si>
    <t xml:space="preserve">月租金</t>
  </si>
  <si>
    <t xml:space="preserve">月人工</t>
  </si>
  <si>
    <t xml:space="preserve">月水电杂费</t>
  </si>
  <si>
    <t xml:space="preserve">月固定成本合计</t>
  </si>
  <si>
    <t xml:space="preserve">综合毛利率(自 SKU成本卡)</t>
  </si>
  <si>
    <t xml:space="preserve">平均客单价(估)</t>
  </si>
  <si>
    <t xml:space="preserve">月保本营业额</t>
  </si>
  <si>
    <t xml:space="preserve">日保本单量(按30天)</t>
  </si>
  <si>
    <t xml:space="preserve">← 每天卖不到这个数就是亏，贴在档口后台</t>
  </si>
  <si>
    <t xml:space="preserve">② 餐车（单场）</t>
  </si>
  <si>
    <t xml:space="preserve">摊位费</t>
  </si>
  <si>
    <t xml:space="preserve">人工(2人)</t>
  </si>
  <si>
    <t xml:space="preserve">油/气/车耗</t>
  </si>
  <si>
    <t xml:space="preserve">单场固定成本</t>
  </si>
  <si>
    <t xml:space="preserve">保本营业额/场</t>
  </si>
  <si>
    <t xml:space="preserve">保本单量/场</t>
  </si>
  <si>
    <r>
      <rPr>
        <b val="true"/>
        <sz val="10"/>
        <rFont val="Arial"/>
        <family val="0"/>
        <charset val="1"/>
      </rPr>
      <t xml:space="preserve">Go/No-Go </t>
    </r>
    <r>
      <rPr>
        <b val="true"/>
        <sz val="10"/>
        <rFont val="WenQuanYi Zen Hei"/>
        <family val="2"/>
      </rPr>
      <t xml:space="preserve">线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保本</t>
    </r>
    <r>
      <rPr>
        <b val="true"/>
        <sz val="10"/>
        <rFont val="Arial"/>
        <family val="0"/>
        <charset val="1"/>
      </rPr>
      <t xml:space="preserve">×1.5)</t>
    </r>
  </si>
  <si>
    <t xml:space="preserve">← 预估营业额低于这个数的场，不出车</t>
  </si>
  <si>
    <t xml:space="preserve">餐车单日 P&amp;L（每场收车 15 分钟内填，第 4 行是示例）</t>
  </si>
  <si>
    <t xml:space="preserve">日期</t>
  </si>
  <si>
    <t xml:space="preserve">场地</t>
  </si>
  <si>
    <t xml:space="preserve">天气</t>
  </si>
  <si>
    <t xml:space="preserve">营业额</t>
  </si>
  <si>
    <t xml:space="preserve">单量</t>
  </si>
  <si>
    <t xml:space="preserve">客单价</t>
  </si>
  <si>
    <t xml:space="preserve">货成本</t>
  </si>
  <si>
    <t xml:space="preserve">人工</t>
  </si>
  <si>
    <t xml:space="preserve">油气杂费</t>
  </si>
  <si>
    <t xml:space="preserve">当日净利</t>
  </si>
  <si>
    <t xml:space="preserve">净利率</t>
  </si>
  <si>
    <t xml:space="preserve">2026-08-15</t>
  </si>
  <si>
    <t xml:space="preserve">示例夜市</t>
  </si>
  <si>
    <t xml:space="preserve">晴</t>
  </si>
  <si>
    <t xml:space="preserve">示例行：填法参考，可删除</t>
  </si>
  <si>
    <t xml:space="preserve">货成本按「SKU成本卡」加权 food cost 自动估算；月底用实际进货对账修正。</t>
  </si>
  <si>
    <t xml:space="preserve">场地评分档（同场地连续 2 次 C = 拉黑；排期永远优先 A 场）</t>
  </si>
  <si>
    <t xml:space="preserve">评分</t>
  </si>
  <si>
    <t xml:space="preserve">备注/情报</t>
  </si>
  <si>
    <t xml:space="preserve">示例行：净利自动评分，可删除</t>
  </si>
  <si>
    <t xml:space="preserve">评分标准：净利 ≥ RM400 = A；RM200–400 = B；&lt; RM200 = C（标准可按你成本调整）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</si>
</sst>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M &quot;#,##0.00"/>
    <numFmt numFmtId="166" formatCode="0.000"/>
    <numFmt numFmtId="167" formatCode="0.0%"/>
    <numFmt numFmtId="168" formatCode="0.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WenQuanYi Zen Hei"/>
      <family val="2"/>
      <charset val="1"/>
    </font>
    <font>
      <sz val="10"/>
      <color rgb="FF000000"/>
      <name val="Arial"/>
      <family val="0"/>
      <charset val="1"/>
    </font>
    <font>
      <sz val="10"/>
      <color rgb="FF000000"/>
      <name val="WenQuanYi Zen Hei"/>
      <family val="2"/>
    </font>
    <font>
      <b val="true"/>
      <sz val="10"/>
      <color rgb="FFFFFFFF"/>
      <name val="WenQuanYi Zen Hei"/>
      <family val="2"/>
      <charset val="1"/>
    </font>
    <font>
      <sz val="10"/>
      <color rgb="FF000000"/>
      <name val="WenQuanYi Zen Hei"/>
      <family val="2"/>
      <charset val="1"/>
    </font>
    <font>
      <sz val="10"/>
      <color rgb="FF0000FF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3"/>
      <name val="WenQuanYi Zen Hei"/>
      <family val="2"/>
    </font>
    <font>
      <b val="true"/>
      <sz val="10"/>
      <name val="WenQuanYi Zen Hei"/>
      <family val="2"/>
      <charset val="1"/>
    </font>
    <font>
      <sz val="10"/>
      <color rgb="FF008000"/>
      <name val="Arial"/>
      <family val="0"/>
      <charset val="1"/>
    </font>
    <font>
      <i val="true"/>
      <sz val="9"/>
      <name val="WenQuanYi Zen Hei"/>
      <family val="2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WenQuanYi Zen Hei"/>
      <family val="2"/>
      <charset val="1"/>
    </font>
    <font>
      <b val="true"/>
      <sz val="10"/>
      <name val="WenQuanYi Zen Hei"/>
      <family val="2"/>
    </font>
    <font>
      <sz val="10"/>
      <color rgb="FF0000FF"/>
      <name val="WenQuanYi Zen He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90"/>
  </cols>
  <sheetData>
    <row r="2" customFormat="false" ht="16.5" hidden="false" customHeight="true" outlineLevel="0" collapsed="false">
      <c r="B2" s="2" t="s">
        <v>0</v>
      </c>
    </row>
    <row r="4" customFormat="false" ht="15" hidden="false" customHeight="true" outlineLevel="0" collapsed="false">
      <c r="B4" s="3" t="s">
        <v>1</v>
      </c>
    </row>
    <row r="5" customFormat="false" ht="15" hidden="false" customHeight="true" outlineLevel="0" collapsed="false">
      <c r="B5" s="3" t="s">
        <v>2</v>
      </c>
    </row>
    <row r="6" customFormat="false" ht="15" hidden="false" customHeight="true" outlineLevel="0" collapsed="false">
      <c r="B6" s="3" t="s">
        <v>3</v>
      </c>
    </row>
    <row r="7" customFormat="false" ht="15" hidden="false" customHeight="true" outlineLevel="0" collapsed="false">
      <c r="B7" s="3" t="s">
        <v>4</v>
      </c>
    </row>
    <row r="8" customFormat="false" ht="15" hidden="false" customHeight="true" outlineLevel="0" collapsed="false">
      <c r="B8" s="3" t="s">
        <v>5</v>
      </c>
    </row>
    <row r="9" customFormat="false" ht="15" hidden="false" customHeight="true" outlineLevel="0" collapsed="false">
      <c r="B9" s="3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4" min="4" style="1" width="40"/>
  </cols>
  <sheetData>
    <row r="1" customFormat="false" ht="15.75" hidden="false" customHeight="true" outlineLevel="0" collapsed="false">
      <c r="A1" s="2" t="s">
        <v>7</v>
      </c>
    </row>
    <row r="3" customFormat="false" ht="15" hidden="false" customHeight="true" outlineLevel="0" collapsed="false">
      <c r="A3" s="4" t="s">
        <v>8</v>
      </c>
      <c r="B3" s="4" t="s">
        <v>9</v>
      </c>
      <c r="C3" s="4" t="s">
        <v>10</v>
      </c>
      <c r="D3" s="4" t="s">
        <v>11</v>
      </c>
    </row>
    <row r="4" customFormat="false" ht="15" hidden="false" customHeight="true" outlineLevel="0" collapsed="false">
      <c r="A4" s="5" t="s">
        <v>12</v>
      </c>
      <c r="B4" s="6" t="s">
        <v>13</v>
      </c>
      <c r="C4" s="7" t="n">
        <v>15</v>
      </c>
      <c r="D4" s="5" t="s">
        <v>14</v>
      </c>
    </row>
    <row r="5" customFormat="false" ht="15" hidden="false" customHeight="true" outlineLevel="0" collapsed="false">
      <c r="A5" s="5" t="s">
        <v>15</v>
      </c>
      <c r="B5" s="6" t="s">
        <v>16</v>
      </c>
      <c r="C5" s="7" t="n">
        <v>1.2</v>
      </c>
      <c r="D5" s="5" t="s">
        <v>17</v>
      </c>
    </row>
    <row r="6" customFormat="false" ht="15" hidden="false" customHeight="true" outlineLevel="0" collapsed="false">
      <c r="A6" s="5" t="s">
        <v>18</v>
      </c>
      <c r="B6" s="6" t="s">
        <v>16</v>
      </c>
      <c r="C6" s="7" t="n">
        <v>1.5</v>
      </c>
      <c r="D6" s="5" t="s">
        <v>19</v>
      </c>
    </row>
    <row r="7" customFormat="false" ht="15" hidden="false" customHeight="true" outlineLevel="0" collapsed="false">
      <c r="A7" s="5" t="s">
        <v>20</v>
      </c>
      <c r="B7" s="6" t="s">
        <v>16</v>
      </c>
      <c r="C7" s="7" t="n">
        <v>1</v>
      </c>
      <c r="D7" s="5" t="s">
        <v>21</v>
      </c>
    </row>
    <row r="8" customFormat="false" ht="15" hidden="false" customHeight="true" outlineLevel="0" collapsed="false">
      <c r="A8" s="5" t="s">
        <v>22</v>
      </c>
      <c r="B8" s="6" t="s">
        <v>13</v>
      </c>
      <c r="C8" s="7" t="n">
        <v>22</v>
      </c>
      <c r="D8" s="5" t="s">
        <v>23</v>
      </c>
    </row>
    <row r="9" customFormat="false" ht="15" hidden="false" customHeight="true" outlineLevel="0" collapsed="false">
      <c r="A9" s="5" t="s">
        <v>24</v>
      </c>
      <c r="B9" s="6" t="s">
        <v>13</v>
      </c>
      <c r="C9" s="7" t="n">
        <v>12</v>
      </c>
      <c r="D9" s="5" t="s">
        <v>25</v>
      </c>
    </row>
    <row r="10" customFormat="false" ht="15" hidden="false" customHeight="true" outlineLevel="0" collapsed="false">
      <c r="A10" s="5" t="s">
        <v>26</v>
      </c>
      <c r="B10" s="6" t="s">
        <v>13</v>
      </c>
      <c r="C10" s="7" t="n">
        <v>16</v>
      </c>
      <c r="D10" s="6"/>
    </row>
    <row r="11" customFormat="false" ht="15" hidden="false" customHeight="true" outlineLevel="0" collapsed="false">
      <c r="A11" s="5" t="s">
        <v>27</v>
      </c>
      <c r="B11" s="6" t="s">
        <v>13</v>
      </c>
      <c r="C11" s="7" t="n">
        <v>17</v>
      </c>
      <c r="D11" s="6"/>
    </row>
    <row r="12" customFormat="false" ht="15" hidden="false" customHeight="true" outlineLevel="0" collapsed="false">
      <c r="A12" s="5" t="s">
        <v>28</v>
      </c>
      <c r="B12" s="6" t="s">
        <v>13</v>
      </c>
      <c r="C12" s="7" t="n">
        <v>25</v>
      </c>
      <c r="D12" s="6"/>
    </row>
    <row r="13" customFormat="false" ht="15" hidden="false" customHeight="true" outlineLevel="0" collapsed="false">
      <c r="A13" s="5" t="s">
        <v>29</v>
      </c>
      <c r="B13" s="6" t="s">
        <v>13</v>
      </c>
      <c r="C13" s="7" t="n">
        <v>10</v>
      </c>
      <c r="D13" s="6"/>
    </row>
    <row r="14" customFormat="false" ht="15" hidden="false" customHeight="true" outlineLevel="0" collapsed="false">
      <c r="A14" s="5" t="s">
        <v>30</v>
      </c>
      <c r="B14" s="6" t="s">
        <v>13</v>
      </c>
      <c r="C14" s="7" t="n">
        <v>14</v>
      </c>
      <c r="D14" s="6"/>
    </row>
    <row r="15" customFormat="false" ht="15" hidden="false" customHeight="true" outlineLevel="0" collapsed="false">
      <c r="A15" s="5" t="s">
        <v>31</v>
      </c>
      <c r="B15" s="6" t="s">
        <v>13</v>
      </c>
      <c r="C15" s="7" t="n">
        <v>18</v>
      </c>
      <c r="D15" s="6"/>
    </row>
    <row r="16" customFormat="false" ht="15" hidden="false" customHeight="true" outlineLevel="0" collapsed="false">
      <c r="A16" s="5" t="s">
        <v>32</v>
      </c>
      <c r="B16" s="6" t="s">
        <v>13</v>
      </c>
      <c r="C16" s="7" t="n">
        <v>60</v>
      </c>
      <c r="D16" s="6" t="s">
        <v>33</v>
      </c>
    </row>
    <row r="17" customFormat="false" ht="15" hidden="false" customHeight="true" outlineLevel="0" collapsed="false">
      <c r="A17" s="5" t="s">
        <v>34</v>
      </c>
      <c r="B17" s="6" t="s">
        <v>13</v>
      </c>
      <c r="C17" s="7" t="n">
        <v>18</v>
      </c>
      <c r="D17" s="6"/>
    </row>
    <row r="18" customFormat="false" ht="15" hidden="false" customHeight="true" outlineLevel="0" collapsed="false">
      <c r="A18" s="5" t="s">
        <v>35</v>
      </c>
      <c r="B18" s="6" t="s">
        <v>13</v>
      </c>
      <c r="C18" s="7" t="n">
        <v>16</v>
      </c>
      <c r="D18" s="6"/>
    </row>
    <row r="19" customFormat="false" ht="15" hidden="false" customHeight="true" outlineLevel="0" collapsed="false">
      <c r="A19" s="5" t="s">
        <v>36</v>
      </c>
      <c r="B19" s="6" t="s">
        <v>13</v>
      </c>
      <c r="C19" s="7" t="n">
        <v>12</v>
      </c>
      <c r="D19" s="6"/>
    </row>
    <row r="20" customFormat="false" ht="15" hidden="false" customHeight="true" outlineLevel="0" collapsed="false">
      <c r="A20" s="5" t="s">
        <v>37</v>
      </c>
      <c r="B20" s="6" t="s">
        <v>13</v>
      </c>
      <c r="C20" s="7" t="n">
        <v>8</v>
      </c>
      <c r="D20" s="6"/>
    </row>
    <row r="21" customFormat="false" ht="15" hidden="false" customHeight="true" outlineLevel="0" collapsed="false">
      <c r="A21" s="5" t="s">
        <v>38</v>
      </c>
      <c r="B21" s="6" t="s">
        <v>39</v>
      </c>
      <c r="C21" s="7" t="n">
        <v>0.6</v>
      </c>
      <c r="D21" s="6"/>
    </row>
    <row r="22" customFormat="false" ht="15" hidden="false" customHeight="true" outlineLevel="0" collapsed="false">
      <c r="A22" s="5" t="s">
        <v>40</v>
      </c>
      <c r="B22" s="6" t="s">
        <v>41</v>
      </c>
      <c r="C22" s="7" t="n">
        <v>0.8</v>
      </c>
      <c r="D22" s="5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8" min="2" style="1" width="12"/>
    <col collapsed="false" customWidth="true" hidden="false" outlineLevel="0" max="10" min="9" style="1" width="13"/>
    <col collapsed="false" customWidth="true" hidden="false" outlineLevel="0" max="11" min="11" style="1" width="11"/>
    <col collapsed="false" customWidth="true" hidden="false" outlineLevel="0" max="12" min="12" style="1" width="12"/>
  </cols>
  <sheetData>
    <row r="1" customFormat="false" ht="16.5" hidden="false" customHeight="true" outlineLevel="0" collapsed="false">
      <c r="A1" s="8" t="s">
        <v>43</v>
      </c>
    </row>
    <row r="3" customFormat="false" ht="15" hidden="false" customHeight="true" outlineLevel="0" collapsed="false">
      <c r="A3" s="9" t="s">
        <v>44</v>
      </c>
    </row>
    <row r="4" customFormat="false" ht="15" hidden="false" customHeight="true" outlineLevel="0" collapsed="false">
      <c r="A4" s="5" t="s">
        <v>45</v>
      </c>
      <c r="B4" s="10" t="n">
        <v>0.22</v>
      </c>
    </row>
    <row r="5" customFormat="false" ht="15" hidden="false" customHeight="true" outlineLevel="0" collapsed="false">
      <c r="A5" s="5" t="s">
        <v>46</v>
      </c>
      <c r="B5" s="10" t="n">
        <v>0.04</v>
      </c>
    </row>
    <row r="6" customFormat="false" ht="15" hidden="false" customHeight="true" outlineLevel="0" collapsed="false">
      <c r="A6" s="5" t="s">
        <v>47</v>
      </c>
      <c r="B6" s="10" t="n">
        <v>0.005</v>
      </c>
    </row>
    <row r="7" customFormat="false" ht="15" hidden="false" customHeight="true" outlineLevel="0" collapsed="false">
      <c r="A7" s="5" t="s">
        <v>48</v>
      </c>
      <c r="B7" s="10" t="n">
        <v>0.01</v>
      </c>
    </row>
    <row r="9" customFormat="false" ht="15" hidden="false" customHeight="true" outlineLevel="0" collapsed="false">
      <c r="A9" s="9" t="s">
        <v>49</v>
      </c>
      <c r="B9" s="11" t="n">
        <f aca="false">$B$4*(SUM(原料价格!C4:C7))</f>
        <v>4.114</v>
      </c>
      <c r="C9" s="12" t="s">
        <v>50</v>
      </c>
    </row>
    <row r="11" customFormat="false" ht="15" hidden="false" customHeight="true" outlineLevel="0" collapsed="false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55</v>
      </c>
      <c r="F11" s="4" t="s">
        <v>56</v>
      </c>
      <c r="G11" s="4" t="s">
        <v>57</v>
      </c>
      <c r="H11" s="4" t="s">
        <v>58</v>
      </c>
      <c r="I11" s="13" t="s">
        <v>59</v>
      </c>
      <c r="J11" s="4" t="s">
        <v>60</v>
      </c>
      <c r="K11" s="4" t="s">
        <v>61</v>
      </c>
      <c r="L11" s="4" t="s">
        <v>62</v>
      </c>
    </row>
    <row r="12" customFormat="false" ht="15" hidden="false" customHeight="true" outlineLevel="0" collapsed="false">
      <c r="A12" s="5" t="s">
        <v>63</v>
      </c>
      <c r="B12" s="14" t="n">
        <f aca="false">$B$9</f>
        <v>4.114</v>
      </c>
      <c r="C12" s="11" t="n">
        <f aca="false">$B$5*原料价格!C8</f>
        <v>0.88</v>
      </c>
      <c r="D12" s="11" t="s">
        <v>64</v>
      </c>
      <c r="E12" s="11" t="n">
        <f aca="false">$B$7*原料价格!C18</f>
        <v>0.16</v>
      </c>
      <c r="F12" s="11" t="n">
        <f aca="false">原料价格!C21</f>
        <v>0.6</v>
      </c>
      <c r="G12" s="14" t="n">
        <f aca="false">SUM(B12:F12)</f>
        <v>5.754</v>
      </c>
      <c r="H12" s="7" t="n">
        <v>15.9</v>
      </c>
      <c r="I12" s="15" t="n">
        <f aca="false">IF(H12=0,0,G12/H12)</f>
        <v>0.36188679245283</v>
      </c>
      <c r="J12" s="14" t="n">
        <f aca="false">H12-G12</f>
        <v>10.146</v>
      </c>
      <c r="K12" s="16" t="n">
        <v>25</v>
      </c>
      <c r="L12" s="14" t="n">
        <f aca="false">J12*K12</f>
        <v>253.65</v>
      </c>
    </row>
    <row r="13" customFormat="false" ht="15" hidden="false" customHeight="true" outlineLevel="0" collapsed="false">
      <c r="A13" s="5" t="s">
        <v>65</v>
      </c>
      <c r="B13" s="14" t="n">
        <f aca="false">$B$9</f>
        <v>4.114</v>
      </c>
      <c r="C13" s="11" t="n">
        <f aca="false">$B$5*(原料价格!C9+原料价格!C10)</f>
        <v>1.12</v>
      </c>
      <c r="D13" s="11" t="s">
        <v>64</v>
      </c>
      <c r="E13" s="11" t="s">
        <v>64</v>
      </c>
      <c r="F13" s="11" t="n">
        <f aca="false">原料价格!C21</f>
        <v>0.6</v>
      </c>
      <c r="G13" s="14" t="n">
        <f aca="false">SUM(B13:F13)</f>
        <v>5.834</v>
      </c>
      <c r="H13" s="7" t="n">
        <v>17.9</v>
      </c>
      <c r="I13" s="15" t="n">
        <f aca="false">IF(H13=0,0,G13/H13)</f>
        <v>0.325921787709497</v>
      </c>
      <c r="J13" s="14" t="n">
        <f aca="false">H13-G13</f>
        <v>12.066</v>
      </c>
      <c r="K13" s="16" t="n">
        <v>30</v>
      </c>
      <c r="L13" s="14" t="n">
        <f aca="false">J13*K13</f>
        <v>361.98</v>
      </c>
    </row>
    <row r="14" customFormat="false" ht="15" hidden="false" customHeight="true" outlineLevel="0" collapsed="false">
      <c r="A14" s="5" t="s">
        <v>66</v>
      </c>
      <c r="B14" s="14" t="n">
        <f aca="false">$B$9</f>
        <v>4.114</v>
      </c>
      <c r="C14" s="11" t="n">
        <f aca="false">$B$5*原料价格!C12</f>
        <v>1</v>
      </c>
      <c r="D14" s="11" t="n">
        <f aca="false">$B$6*原料价格!C16</f>
        <v>0.3</v>
      </c>
      <c r="E14" s="11" t="s">
        <v>64</v>
      </c>
      <c r="F14" s="11" t="n">
        <f aca="false">原料价格!C21</f>
        <v>0.6</v>
      </c>
      <c r="G14" s="14" t="n">
        <f aca="false">SUM(B14:F14)</f>
        <v>6.014</v>
      </c>
      <c r="H14" s="7" t="n">
        <v>18.9</v>
      </c>
      <c r="I14" s="15" t="n">
        <f aca="false">IF(H14=0,0,G14/H14)</f>
        <v>0.318201058201058</v>
      </c>
      <c r="J14" s="14" t="n">
        <f aca="false">H14-G14</f>
        <v>12.886</v>
      </c>
      <c r="K14" s="16" t="n">
        <v>12</v>
      </c>
      <c r="L14" s="14" t="n">
        <f aca="false">J14*K14</f>
        <v>154.632</v>
      </c>
    </row>
    <row r="15" customFormat="false" ht="15" hidden="false" customHeight="true" outlineLevel="0" collapsed="false">
      <c r="A15" s="5" t="s">
        <v>67</v>
      </c>
      <c r="B15" s="14" t="n">
        <f aca="false">$B$9</f>
        <v>4.114</v>
      </c>
      <c r="C15" s="11" t="s">
        <v>64</v>
      </c>
      <c r="D15" s="11" t="n">
        <f aca="false">$B$6*原料价格!C14</f>
        <v>0.07</v>
      </c>
      <c r="E15" s="11" t="n">
        <f aca="false">$B$7*(原料价格!C17+原料价格!C19+原料价格!C20)</f>
        <v>0.38</v>
      </c>
      <c r="F15" s="11" t="n">
        <f aca="false">原料价格!C21</f>
        <v>0.6</v>
      </c>
      <c r="G15" s="14" t="n">
        <f aca="false">SUM(B15:F15)</f>
        <v>5.164</v>
      </c>
      <c r="H15" s="7" t="n">
        <v>14.9</v>
      </c>
      <c r="I15" s="15" t="n">
        <f aca="false">IF(H15=0,0,G15/H15)</f>
        <v>0.346577181208054</v>
      </c>
      <c r="J15" s="14" t="n">
        <f aca="false">H15-G15</f>
        <v>9.736</v>
      </c>
      <c r="K15" s="16" t="n">
        <v>20</v>
      </c>
      <c r="L15" s="14" t="n">
        <f aca="false">J15*K15</f>
        <v>194.72</v>
      </c>
    </row>
    <row r="16" customFormat="false" ht="15" hidden="false" customHeight="true" outlineLevel="0" collapsed="false">
      <c r="A16" s="5" t="s">
        <v>68</v>
      </c>
      <c r="B16" s="14" t="n">
        <f aca="false">$B$9</f>
        <v>4.114</v>
      </c>
      <c r="C16" s="11" t="s">
        <v>64</v>
      </c>
      <c r="D16" s="11" t="n">
        <f aca="false">$B$6*原料价格!C15</f>
        <v>0.09</v>
      </c>
      <c r="E16" s="11" t="s">
        <v>64</v>
      </c>
      <c r="F16" s="11" t="n">
        <f aca="false">原料价格!C21</f>
        <v>0.6</v>
      </c>
      <c r="G16" s="14" t="n">
        <f aca="false">SUM(B16:F16)</f>
        <v>4.804</v>
      </c>
      <c r="H16" s="7" t="n">
        <v>12.9</v>
      </c>
      <c r="I16" s="15" t="n">
        <f aca="false">IF(H16=0,0,G16/H16)</f>
        <v>0.372403100775194</v>
      </c>
      <c r="J16" s="14" t="n">
        <f aca="false">H16-G16</f>
        <v>8.096</v>
      </c>
      <c r="K16" s="16" t="n">
        <v>15</v>
      </c>
      <c r="L16" s="14" t="n">
        <f aca="false">J16*K16</f>
        <v>121.44</v>
      </c>
    </row>
    <row r="17" customFormat="false" ht="15" hidden="false" customHeight="true" outlineLevel="0" collapsed="false">
      <c r="A17" s="5" t="s">
        <v>69</v>
      </c>
      <c r="B17" s="14" t="n">
        <v>0</v>
      </c>
      <c r="C17" s="14" t="n">
        <v>0</v>
      </c>
      <c r="D17" s="14" t="n">
        <v>0</v>
      </c>
      <c r="E17" s="14" t="n">
        <v>0</v>
      </c>
      <c r="F17" s="11" t="n">
        <f aca="false">原料价格!C22</f>
        <v>0.8</v>
      </c>
      <c r="G17" s="14" t="n">
        <f aca="false">SUM(B17:F17)</f>
        <v>0.8</v>
      </c>
      <c r="H17" s="7" t="n">
        <v>2.9</v>
      </c>
      <c r="I17" s="15" t="n">
        <f aca="false">IF(H17=0,0,G17/H17)</f>
        <v>0.275862068965517</v>
      </c>
      <c r="J17" s="14" t="n">
        <f aca="false">H17-G17</f>
        <v>2.1</v>
      </c>
      <c r="K17" s="16" t="n">
        <v>60</v>
      </c>
      <c r="L17" s="14" t="n">
        <f aca="false">J17*K17</f>
        <v>126</v>
      </c>
    </row>
    <row r="18" customFormat="false" ht="15" hidden="false" customHeight="true" outlineLevel="0" collapsed="false">
      <c r="A18" s="17" t="s">
        <v>70</v>
      </c>
      <c r="B18" s="18"/>
      <c r="C18" s="18"/>
      <c r="D18" s="18"/>
      <c r="E18" s="18"/>
      <c r="F18" s="18"/>
      <c r="G18" s="18"/>
      <c r="H18" s="18"/>
      <c r="I18" s="19" t="n">
        <f aca="false">SUMPRODUCT(G12:G17,K12:K17)/SUMPRODUCT(H12:H17,K12:K17)</f>
        <v>0.33631377271732</v>
      </c>
      <c r="J18" s="18"/>
      <c r="K18" s="17" t="n">
        <f aca="false">SUM(K12:K17)</f>
        <v>162</v>
      </c>
      <c r="L18" s="20" t="n">
        <f aca="false">SUM(L12:L17)</f>
        <v>1212.422</v>
      </c>
    </row>
    <row r="20" customFormat="false" ht="15" hidden="false" customHeight="true" outlineLevel="0" collapsed="false">
      <c r="A20" s="9" t="s">
        <v>71</v>
      </c>
      <c r="B20" s="21" t="n">
        <f aca="false">1-I18</f>
        <v>0.66368622728268</v>
      </c>
      <c r="C20" s="22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44"/>
  </cols>
  <sheetData>
    <row r="1" customFormat="false" ht="15.75" hidden="false" customHeight="true" outlineLevel="0" collapsed="false">
      <c r="A1" s="2" t="s">
        <v>73</v>
      </c>
    </row>
    <row r="3" customFormat="false" ht="15" hidden="false" customHeight="true" outlineLevel="0" collapsed="false">
      <c r="A3" s="9" t="s">
        <v>74</v>
      </c>
    </row>
    <row r="4" customFormat="false" ht="15" hidden="false" customHeight="true" outlineLevel="0" collapsed="false">
      <c r="A4" s="5" t="s">
        <v>75</v>
      </c>
      <c r="B4" s="7" t="n">
        <v>4500</v>
      </c>
    </row>
    <row r="5" customFormat="false" ht="15" hidden="false" customHeight="true" outlineLevel="0" collapsed="false">
      <c r="A5" s="5" t="s">
        <v>76</v>
      </c>
      <c r="B5" s="7" t="n">
        <v>6000</v>
      </c>
    </row>
    <row r="6" customFormat="false" ht="15" hidden="false" customHeight="true" outlineLevel="0" collapsed="false">
      <c r="A6" s="5" t="s">
        <v>77</v>
      </c>
      <c r="B6" s="7" t="n">
        <v>1200</v>
      </c>
    </row>
    <row r="7" customFormat="false" ht="15" hidden="false" customHeight="true" outlineLevel="0" collapsed="false">
      <c r="A7" s="9" t="s">
        <v>78</v>
      </c>
      <c r="B7" s="14" t="n">
        <f aca="false">SUM(B4:B6)</f>
        <v>11700</v>
      </c>
    </row>
    <row r="8" customFormat="false" ht="15" hidden="false" customHeight="true" outlineLevel="0" collapsed="false">
      <c r="A8" s="23" t="s">
        <v>79</v>
      </c>
      <c r="B8" s="24" t="n">
        <f aca="false">SKU成本卡!$B$20</f>
        <v>0.66368622728268</v>
      </c>
    </row>
    <row r="9" customFormat="false" ht="15" hidden="false" customHeight="true" outlineLevel="0" collapsed="false">
      <c r="A9" s="23" t="s">
        <v>80</v>
      </c>
      <c r="B9" s="7" t="n">
        <v>17</v>
      </c>
    </row>
    <row r="10" customFormat="false" ht="15" hidden="false" customHeight="true" outlineLevel="0" collapsed="false">
      <c r="A10" s="9" t="s">
        <v>81</v>
      </c>
      <c r="B10" s="14" t="n">
        <f aca="false">IF(B8=0,0,B7/B8)</f>
        <v>17628.8124102004</v>
      </c>
    </row>
    <row r="11" customFormat="false" ht="15" hidden="false" customHeight="true" outlineLevel="0" collapsed="false">
      <c r="A11" s="9" t="s">
        <v>82</v>
      </c>
      <c r="B11" s="25" t="n">
        <f aca="false">IF(B9=0,0,B10/30/B9)</f>
        <v>34.5662988435302</v>
      </c>
      <c r="C11" s="22" t="s">
        <v>83</v>
      </c>
    </row>
    <row r="14" customFormat="false" ht="15" hidden="false" customHeight="true" outlineLevel="0" collapsed="false">
      <c r="A14" s="9" t="s">
        <v>84</v>
      </c>
    </row>
    <row r="15" customFormat="false" ht="15" hidden="false" customHeight="true" outlineLevel="0" collapsed="false">
      <c r="A15" s="5" t="s">
        <v>85</v>
      </c>
      <c r="B15" s="7" t="n">
        <v>250</v>
      </c>
    </row>
    <row r="16" customFormat="false" ht="15" hidden="false" customHeight="true" outlineLevel="0" collapsed="false">
      <c r="A16" s="5" t="s">
        <v>86</v>
      </c>
      <c r="B16" s="7" t="n">
        <v>200</v>
      </c>
    </row>
    <row r="17" customFormat="false" ht="15" hidden="false" customHeight="true" outlineLevel="0" collapsed="false">
      <c r="A17" s="5" t="s">
        <v>87</v>
      </c>
      <c r="B17" s="7" t="n">
        <v>80</v>
      </c>
    </row>
    <row r="18" customFormat="false" ht="15" hidden="false" customHeight="true" outlineLevel="0" collapsed="false">
      <c r="A18" s="9" t="s">
        <v>88</v>
      </c>
      <c r="B18" s="14" t="n">
        <f aca="false">SUM(B15:B17)</f>
        <v>530</v>
      </c>
    </row>
    <row r="19" customFormat="false" ht="15" hidden="false" customHeight="true" outlineLevel="0" collapsed="false">
      <c r="A19" s="23" t="s">
        <v>79</v>
      </c>
      <c r="B19" s="24" t="n">
        <f aca="false">SKU成本卡!$B$20</f>
        <v>0.66368622728268</v>
      </c>
    </row>
    <row r="20" customFormat="false" ht="15" hidden="false" customHeight="true" outlineLevel="0" collapsed="false">
      <c r="A20" s="9" t="s">
        <v>89</v>
      </c>
      <c r="B20" s="14" t="n">
        <f aca="false">IF(B19=0,0,B18/B19)</f>
        <v>798.570134821044</v>
      </c>
    </row>
    <row r="21" customFormat="false" ht="15" hidden="false" customHeight="true" outlineLevel="0" collapsed="false">
      <c r="A21" s="9" t="s">
        <v>90</v>
      </c>
      <c r="B21" s="25" t="n">
        <f aca="false">IF($B$9=0,0,B20/$B$9)</f>
        <v>46.9747138130026</v>
      </c>
    </row>
    <row r="22" customFormat="false" ht="15" hidden="false" customHeight="true" outlineLevel="0" collapsed="false">
      <c r="A22" s="26" t="s">
        <v>91</v>
      </c>
      <c r="B22" s="27" t="n">
        <f aca="false">B20*1.5</f>
        <v>1197.85520223157</v>
      </c>
      <c r="C22" s="22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11" min="4" style="1" width="12"/>
    <col collapsed="false" customWidth="true" hidden="false" outlineLevel="0" max="12" min="12" style="1" width="10"/>
    <col collapsed="false" customWidth="true" hidden="false" outlineLevel="0" max="13" min="13" style="1" width="24"/>
  </cols>
  <sheetData>
    <row r="1" customFormat="false" ht="16.5" hidden="false" customHeight="true" outlineLevel="0" collapsed="false">
      <c r="A1" s="2" t="s">
        <v>93</v>
      </c>
    </row>
    <row r="3" customFormat="false" ht="15" hidden="false" customHeight="true" outlineLevel="0" collapsed="false">
      <c r="A3" s="4" t="s">
        <v>94</v>
      </c>
      <c r="B3" s="4" t="s">
        <v>95</v>
      </c>
      <c r="C3" s="4" t="s">
        <v>96</v>
      </c>
      <c r="D3" s="4" t="s">
        <v>97</v>
      </c>
      <c r="E3" s="4" t="s">
        <v>98</v>
      </c>
      <c r="F3" s="4" t="s">
        <v>99</v>
      </c>
      <c r="G3" s="4" t="s">
        <v>100</v>
      </c>
      <c r="H3" s="4" t="s">
        <v>85</v>
      </c>
      <c r="I3" s="4" t="s">
        <v>101</v>
      </c>
      <c r="J3" s="4" t="s">
        <v>102</v>
      </c>
      <c r="K3" s="4" t="s">
        <v>103</v>
      </c>
      <c r="L3" s="4" t="s">
        <v>104</v>
      </c>
      <c r="M3" s="4" t="s">
        <v>11</v>
      </c>
    </row>
    <row r="4" customFormat="false" ht="15" hidden="false" customHeight="true" outlineLevel="0" collapsed="false">
      <c r="A4" s="28" t="s">
        <v>105</v>
      </c>
      <c r="B4" s="29" t="s">
        <v>106</v>
      </c>
      <c r="C4" s="29" t="s">
        <v>107</v>
      </c>
      <c r="D4" s="30" t="n">
        <v>1580</v>
      </c>
      <c r="E4" s="28" t="n">
        <v>96</v>
      </c>
      <c r="F4" s="14" t="n">
        <f aca="false">IF(E4=0,0,D4/E4)</f>
        <v>16.4583333333333</v>
      </c>
      <c r="G4" s="11" t="n">
        <f aca="false">D4*(1-SKU成本卡!$B$20)</f>
        <v>531.375760893365</v>
      </c>
      <c r="H4" s="30" t="n">
        <v>250</v>
      </c>
      <c r="I4" s="30" t="n">
        <v>200</v>
      </c>
      <c r="J4" s="30" t="n">
        <v>80</v>
      </c>
      <c r="K4" s="14" t="n">
        <f aca="false">D4-G4-H4-I4-J4</f>
        <v>518.624239106635</v>
      </c>
      <c r="L4" s="15" t="n">
        <f aca="false">IF(D4=0,0,K4/D4)</f>
        <v>0.328243189307997</v>
      </c>
      <c r="M4" s="29" t="s">
        <v>108</v>
      </c>
    </row>
    <row r="5" customFormat="false" ht="15" hidden="false" customHeight="true" outlineLevel="0" collapsed="false">
      <c r="A5" s="18"/>
      <c r="B5" s="18"/>
      <c r="C5" s="18"/>
      <c r="D5" s="31"/>
      <c r="E5" s="18"/>
      <c r="F5" s="14" t="n">
        <f aca="false">IF(E5=0,0,D5/E5)</f>
        <v>0</v>
      </c>
      <c r="G5" s="11" t="n">
        <f aca="false">IF(D5=0,0,D5*(1-SKU成本卡!$B$20))</f>
        <v>0</v>
      </c>
      <c r="H5" s="31"/>
      <c r="I5" s="31"/>
      <c r="J5" s="31"/>
      <c r="K5" s="14" t="n">
        <f aca="false">IF(D5=0,0,D5-G5-H5-I5-J5)</f>
        <v>0</v>
      </c>
      <c r="L5" s="15" t="n">
        <f aca="false">IF(D5=0,0,K5/D5)</f>
        <v>0</v>
      </c>
      <c r="M5" s="18"/>
    </row>
    <row r="6" customFormat="false" ht="15" hidden="false" customHeight="true" outlineLevel="0" collapsed="false">
      <c r="A6" s="18"/>
      <c r="B6" s="18"/>
      <c r="C6" s="18"/>
      <c r="D6" s="31"/>
      <c r="E6" s="18"/>
      <c r="F6" s="14" t="n">
        <f aca="false">IF(E6=0,0,D6/E6)</f>
        <v>0</v>
      </c>
      <c r="G6" s="11" t="n">
        <f aca="false">IF(D6=0,0,D6*(1-SKU成本卡!$B$20))</f>
        <v>0</v>
      </c>
      <c r="H6" s="31"/>
      <c r="I6" s="31"/>
      <c r="J6" s="31"/>
      <c r="K6" s="14" t="n">
        <f aca="false">IF(D6=0,0,D6-G6-H6-I6-J6)</f>
        <v>0</v>
      </c>
      <c r="L6" s="15" t="n">
        <f aca="false">IF(D6=0,0,K6/D6)</f>
        <v>0</v>
      </c>
      <c r="M6" s="18"/>
    </row>
    <row r="7" customFormat="false" ht="15" hidden="false" customHeight="true" outlineLevel="0" collapsed="false">
      <c r="A7" s="18"/>
      <c r="B7" s="18"/>
      <c r="C7" s="18"/>
      <c r="D7" s="31"/>
      <c r="E7" s="18"/>
      <c r="F7" s="14" t="n">
        <f aca="false">IF(E7=0,0,D7/E7)</f>
        <v>0</v>
      </c>
      <c r="G7" s="11" t="n">
        <f aca="false">IF(D7=0,0,D7*(1-SKU成本卡!$B$20))</f>
        <v>0</v>
      </c>
      <c r="H7" s="31"/>
      <c r="I7" s="31"/>
      <c r="J7" s="31"/>
      <c r="K7" s="14" t="n">
        <f aca="false">IF(D7=0,0,D7-G7-H7-I7-J7)</f>
        <v>0</v>
      </c>
      <c r="L7" s="15" t="n">
        <f aca="false">IF(D7=0,0,K7/D7)</f>
        <v>0</v>
      </c>
      <c r="M7" s="18"/>
    </row>
    <row r="8" customFormat="false" ht="15" hidden="false" customHeight="true" outlineLevel="0" collapsed="false">
      <c r="A8" s="18"/>
      <c r="B8" s="18"/>
      <c r="C8" s="18"/>
      <c r="D8" s="31"/>
      <c r="E8" s="18"/>
      <c r="F8" s="14" t="n">
        <f aca="false">IF(E8=0,0,D8/E8)</f>
        <v>0</v>
      </c>
      <c r="G8" s="11" t="n">
        <f aca="false">IF(D8=0,0,D8*(1-SKU成本卡!$B$20))</f>
        <v>0</v>
      </c>
      <c r="H8" s="31"/>
      <c r="I8" s="31"/>
      <c r="J8" s="31"/>
      <c r="K8" s="14" t="n">
        <f aca="false">IF(D8=0,0,D8-G8-H8-I8-J8)</f>
        <v>0</v>
      </c>
      <c r="L8" s="15" t="n">
        <f aca="false">IF(D8=0,0,K8/D8)</f>
        <v>0</v>
      </c>
      <c r="M8" s="18"/>
    </row>
    <row r="9" customFormat="false" ht="15" hidden="false" customHeight="true" outlineLevel="0" collapsed="false">
      <c r="A9" s="18"/>
      <c r="B9" s="18"/>
      <c r="C9" s="18"/>
      <c r="D9" s="31"/>
      <c r="E9" s="18"/>
      <c r="F9" s="14" t="n">
        <f aca="false">IF(E9=0,0,D9/E9)</f>
        <v>0</v>
      </c>
      <c r="G9" s="11" t="n">
        <f aca="false">IF(D9=0,0,D9*(1-SKU成本卡!$B$20))</f>
        <v>0</v>
      </c>
      <c r="H9" s="31"/>
      <c r="I9" s="31"/>
      <c r="J9" s="31"/>
      <c r="K9" s="14" t="n">
        <f aca="false">IF(D9=0,0,D9-G9-H9-I9-J9)</f>
        <v>0</v>
      </c>
      <c r="L9" s="15" t="n">
        <f aca="false">IF(D9=0,0,K9/D9)</f>
        <v>0</v>
      </c>
      <c r="M9" s="18"/>
    </row>
    <row r="10" customFormat="false" ht="15" hidden="false" customHeight="true" outlineLevel="0" collapsed="false">
      <c r="A10" s="18"/>
      <c r="B10" s="18"/>
      <c r="C10" s="18"/>
      <c r="D10" s="31"/>
      <c r="E10" s="18"/>
      <c r="F10" s="14" t="n">
        <f aca="false">IF(E10=0,0,D10/E10)</f>
        <v>0</v>
      </c>
      <c r="G10" s="11" t="n">
        <f aca="false">IF(D10=0,0,D10*(1-SKU成本卡!$B$20))</f>
        <v>0</v>
      </c>
      <c r="H10" s="31"/>
      <c r="I10" s="31"/>
      <c r="J10" s="31"/>
      <c r="K10" s="14" t="n">
        <f aca="false">IF(D10=0,0,D10-G10-H10-I10-J10)</f>
        <v>0</v>
      </c>
      <c r="L10" s="15" t="n">
        <f aca="false">IF(D10=0,0,K10/D10)</f>
        <v>0</v>
      </c>
      <c r="M10" s="18"/>
    </row>
    <row r="11" customFormat="false" ht="15" hidden="false" customHeight="true" outlineLevel="0" collapsed="false">
      <c r="A11" s="18"/>
      <c r="B11" s="18"/>
      <c r="C11" s="18"/>
      <c r="D11" s="31"/>
      <c r="E11" s="18"/>
      <c r="F11" s="14" t="n">
        <f aca="false">IF(E11=0,0,D11/E11)</f>
        <v>0</v>
      </c>
      <c r="G11" s="11" t="n">
        <f aca="false">IF(D11=0,0,D11*(1-SKU成本卡!$B$20))</f>
        <v>0</v>
      </c>
      <c r="H11" s="31"/>
      <c r="I11" s="31"/>
      <c r="J11" s="31"/>
      <c r="K11" s="14" t="n">
        <f aca="false">IF(D11=0,0,D11-G11-H11-I11-J11)</f>
        <v>0</v>
      </c>
      <c r="L11" s="15" t="n">
        <f aca="false">IF(D11=0,0,K11/D11)</f>
        <v>0</v>
      </c>
      <c r="M11" s="18"/>
    </row>
    <row r="12" customFormat="false" ht="15" hidden="false" customHeight="true" outlineLevel="0" collapsed="false">
      <c r="A12" s="18"/>
      <c r="B12" s="18"/>
      <c r="C12" s="18"/>
      <c r="D12" s="31"/>
      <c r="E12" s="18"/>
      <c r="F12" s="14" t="n">
        <f aca="false">IF(E12=0,0,D12/E12)</f>
        <v>0</v>
      </c>
      <c r="G12" s="11" t="n">
        <f aca="false">IF(D12=0,0,D12*(1-SKU成本卡!$B$20))</f>
        <v>0</v>
      </c>
      <c r="H12" s="31"/>
      <c r="I12" s="31"/>
      <c r="J12" s="31"/>
      <c r="K12" s="14" t="n">
        <f aca="false">IF(D12=0,0,D12-G12-H12-I12-J12)</f>
        <v>0</v>
      </c>
      <c r="L12" s="15" t="n">
        <f aca="false">IF(D12=0,0,K12/D12)</f>
        <v>0</v>
      </c>
      <c r="M12" s="18"/>
    </row>
    <row r="13" customFormat="false" ht="15" hidden="false" customHeight="true" outlineLevel="0" collapsed="false">
      <c r="A13" s="18"/>
      <c r="B13" s="18"/>
      <c r="C13" s="18"/>
      <c r="D13" s="31"/>
      <c r="E13" s="18"/>
      <c r="F13" s="14" t="n">
        <f aca="false">IF(E13=0,0,D13/E13)</f>
        <v>0</v>
      </c>
      <c r="G13" s="11" t="n">
        <f aca="false">IF(D13=0,0,D13*(1-SKU成本卡!$B$20))</f>
        <v>0</v>
      </c>
      <c r="H13" s="31"/>
      <c r="I13" s="31"/>
      <c r="J13" s="31"/>
      <c r="K13" s="14" t="n">
        <f aca="false">IF(D13=0,0,D13-G13-H13-I13-J13)</f>
        <v>0</v>
      </c>
      <c r="L13" s="15" t="n">
        <f aca="false">IF(D13=0,0,K13/D13)</f>
        <v>0</v>
      </c>
      <c r="M13" s="18"/>
    </row>
    <row r="14" customFormat="false" ht="15" hidden="false" customHeight="true" outlineLevel="0" collapsed="false">
      <c r="A14" s="18"/>
      <c r="B14" s="18"/>
      <c r="C14" s="18"/>
      <c r="D14" s="31"/>
      <c r="E14" s="18"/>
      <c r="F14" s="14" t="n">
        <f aca="false">IF(E14=0,0,D14/E14)</f>
        <v>0</v>
      </c>
      <c r="G14" s="11" t="n">
        <f aca="false">IF(D14=0,0,D14*(1-SKU成本卡!$B$20))</f>
        <v>0</v>
      </c>
      <c r="H14" s="31"/>
      <c r="I14" s="31"/>
      <c r="J14" s="31"/>
      <c r="K14" s="14" t="n">
        <f aca="false">IF(D14=0,0,D14-G14-H14-I14-J14)</f>
        <v>0</v>
      </c>
      <c r="L14" s="15" t="n">
        <f aca="false">IF(D14=0,0,K14/D14)</f>
        <v>0</v>
      </c>
      <c r="M14" s="18"/>
    </row>
    <row r="15" customFormat="false" ht="15" hidden="false" customHeight="true" outlineLevel="0" collapsed="false">
      <c r="A15" s="18"/>
      <c r="B15" s="18"/>
      <c r="C15" s="18"/>
      <c r="D15" s="31"/>
      <c r="E15" s="18"/>
      <c r="F15" s="14" t="n">
        <f aca="false">IF(E15=0,0,D15/E15)</f>
        <v>0</v>
      </c>
      <c r="G15" s="11" t="n">
        <f aca="false">IF(D15=0,0,D15*(1-SKU成本卡!$B$20))</f>
        <v>0</v>
      </c>
      <c r="H15" s="31"/>
      <c r="I15" s="31"/>
      <c r="J15" s="31"/>
      <c r="K15" s="14" t="n">
        <f aca="false">IF(D15=0,0,D15-G15-H15-I15-J15)</f>
        <v>0</v>
      </c>
      <c r="L15" s="15" t="n">
        <f aca="false">IF(D15=0,0,K15/D15)</f>
        <v>0</v>
      </c>
      <c r="M15" s="18"/>
    </row>
    <row r="16" customFormat="false" ht="15" hidden="false" customHeight="true" outlineLevel="0" collapsed="false">
      <c r="A16" s="18"/>
      <c r="B16" s="18"/>
      <c r="C16" s="18"/>
      <c r="D16" s="31"/>
      <c r="E16" s="18"/>
      <c r="F16" s="14" t="n">
        <f aca="false">IF(E16=0,0,D16/E16)</f>
        <v>0</v>
      </c>
      <c r="G16" s="11" t="n">
        <f aca="false">IF(D16=0,0,D16*(1-SKU成本卡!$B$20))</f>
        <v>0</v>
      </c>
      <c r="H16" s="31"/>
      <c r="I16" s="31"/>
      <c r="J16" s="31"/>
      <c r="K16" s="14" t="n">
        <f aca="false">IF(D16=0,0,D16-G16-H16-I16-J16)</f>
        <v>0</v>
      </c>
      <c r="L16" s="15" t="n">
        <f aca="false">IF(D16=0,0,K16/D16)</f>
        <v>0</v>
      </c>
      <c r="M16" s="18"/>
    </row>
    <row r="17" customFormat="false" ht="15" hidden="false" customHeight="true" outlineLevel="0" collapsed="false">
      <c r="A17" s="18"/>
      <c r="B17" s="18"/>
      <c r="C17" s="18"/>
      <c r="D17" s="31"/>
      <c r="E17" s="18"/>
      <c r="F17" s="14" t="n">
        <f aca="false">IF(E17=0,0,D17/E17)</f>
        <v>0</v>
      </c>
      <c r="G17" s="11" t="n">
        <f aca="false">IF(D17=0,0,D17*(1-SKU成本卡!$B$20))</f>
        <v>0</v>
      </c>
      <c r="H17" s="31"/>
      <c r="I17" s="31"/>
      <c r="J17" s="31"/>
      <c r="K17" s="14" t="n">
        <f aca="false">IF(D17=0,0,D17-G17-H17-I17-J17)</f>
        <v>0</v>
      </c>
      <c r="L17" s="15" t="n">
        <f aca="false">IF(D17=0,0,K17/D17)</f>
        <v>0</v>
      </c>
      <c r="M17" s="18"/>
    </row>
    <row r="18" customFormat="false" ht="15" hidden="false" customHeight="true" outlineLevel="0" collapsed="false">
      <c r="A18" s="18"/>
      <c r="B18" s="18"/>
      <c r="C18" s="18"/>
      <c r="D18" s="31"/>
      <c r="E18" s="18"/>
      <c r="F18" s="14" t="n">
        <f aca="false">IF(E18=0,0,D18/E18)</f>
        <v>0</v>
      </c>
      <c r="G18" s="11" t="n">
        <f aca="false">IF(D18=0,0,D18*(1-SKU成本卡!$B$20))</f>
        <v>0</v>
      </c>
      <c r="H18" s="31"/>
      <c r="I18" s="31"/>
      <c r="J18" s="31"/>
      <c r="K18" s="14" t="n">
        <f aca="false">IF(D18=0,0,D18-G18-H18-I18-J18)</f>
        <v>0</v>
      </c>
      <c r="L18" s="15" t="n">
        <f aca="false">IF(D18=0,0,K18/D18)</f>
        <v>0</v>
      </c>
      <c r="M18" s="18"/>
    </row>
    <row r="19" customFormat="false" ht="15" hidden="false" customHeight="true" outlineLevel="0" collapsed="false">
      <c r="A19" s="18"/>
      <c r="B19" s="18"/>
      <c r="C19" s="18"/>
      <c r="D19" s="31"/>
      <c r="E19" s="18"/>
      <c r="F19" s="14" t="n">
        <f aca="false">IF(E19=0,0,D19/E19)</f>
        <v>0</v>
      </c>
      <c r="G19" s="11" t="n">
        <f aca="false">IF(D19=0,0,D19*(1-SKU成本卡!$B$20))</f>
        <v>0</v>
      </c>
      <c r="H19" s="31"/>
      <c r="I19" s="31"/>
      <c r="J19" s="31"/>
      <c r="K19" s="14" t="n">
        <f aca="false">IF(D19=0,0,D19-G19-H19-I19-J19)</f>
        <v>0</v>
      </c>
      <c r="L19" s="15" t="n">
        <f aca="false">IF(D19=0,0,K19/D19)</f>
        <v>0</v>
      </c>
      <c r="M19" s="18"/>
    </row>
    <row r="20" customFormat="false" ht="15" hidden="false" customHeight="true" outlineLevel="0" collapsed="false">
      <c r="A20" s="18"/>
      <c r="B20" s="18"/>
      <c r="C20" s="18"/>
      <c r="D20" s="31"/>
      <c r="E20" s="18"/>
      <c r="F20" s="14" t="n">
        <f aca="false">IF(E20=0,0,D20/E20)</f>
        <v>0</v>
      </c>
      <c r="G20" s="11" t="n">
        <f aca="false">IF(D20=0,0,D20*(1-SKU成本卡!$B$20))</f>
        <v>0</v>
      </c>
      <c r="H20" s="31"/>
      <c r="I20" s="31"/>
      <c r="J20" s="31"/>
      <c r="K20" s="14" t="n">
        <f aca="false">IF(D20=0,0,D20-G20-H20-I20-J20)</f>
        <v>0</v>
      </c>
      <c r="L20" s="15" t="n">
        <f aca="false">IF(D20=0,0,K20/D20)</f>
        <v>0</v>
      </c>
      <c r="M20" s="18"/>
    </row>
    <row r="21" customFormat="false" ht="15" hidden="false" customHeight="true" outlineLevel="0" collapsed="false">
      <c r="A21" s="18"/>
      <c r="B21" s="18"/>
      <c r="C21" s="18"/>
      <c r="D21" s="31"/>
      <c r="E21" s="18"/>
      <c r="F21" s="14" t="n">
        <f aca="false">IF(E21=0,0,D21/E21)</f>
        <v>0</v>
      </c>
      <c r="G21" s="11" t="n">
        <f aca="false">IF(D21=0,0,D21*(1-SKU成本卡!$B$20))</f>
        <v>0</v>
      </c>
      <c r="H21" s="31"/>
      <c r="I21" s="31"/>
      <c r="J21" s="31"/>
      <c r="K21" s="14" t="n">
        <f aca="false">IF(D21=0,0,D21-G21-H21-I21-J21)</f>
        <v>0</v>
      </c>
      <c r="L21" s="15" t="n">
        <f aca="false">IF(D21=0,0,K21/D21)</f>
        <v>0</v>
      </c>
      <c r="M21" s="18"/>
    </row>
    <row r="22" customFormat="false" ht="15" hidden="false" customHeight="true" outlineLevel="0" collapsed="false">
      <c r="A22" s="18"/>
      <c r="B22" s="18"/>
      <c r="C22" s="18"/>
      <c r="D22" s="31"/>
      <c r="E22" s="18"/>
      <c r="F22" s="14" t="n">
        <f aca="false">IF(E22=0,0,D22/E22)</f>
        <v>0</v>
      </c>
      <c r="G22" s="11" t="n">
        <f aca="false">IF(D22=0,0,D22*(1-SKU成本卡!$B$20))</f>
        <v>0</v>
      </c>
      <c r="H22" s="31"/>
      <c r="I22" s="31"/>
      <c r="J22" s="31"/>
      <c r="K22" s="14" t="n">
        <f aca="false">IF(D22=0,0,D22-G22-H22-I22-J22)</f>
        <v>0</v>
      </c>
      <c r="L22" s="15" t="n">
        <f aca="false">IF(D22=0,0,K22/D22)</f>
        <v>0</v>
      </c>
      <c r="M22" s="18"/>
    </row>
    <row r="23" customFormat="false" ht="15" hidden="false" customHeight="true" outlineLevel="0" collapsed="false">
      <c r="A23" s="18"/>
      <c r="B23" s="18"/>
      <c r="C23" s="18"/>
      <c r="D23" s="31"/>
      <c r="E23" s="18"/>
      <c r="F23" s="14" t="n">
        <f aca="false">IF(E23=0,0,D23/E23)</f>
        <v>0</v>
      </c>
      <c r="G23" s="11" t="n">
        <f aca="false">IF(D23=0,0,D23*(1-SKU成本卡!$B$20))</f>
        <v>0</v>
      </c>
      <c r="H23" s="31"/>
      <c r="I23" s="31"/>
      <c r="J23" s="31"/>
      <c r="K23" s="14" t="n">
        <f aca="false">IF(D23=0,0,D23-G23-H23-I23-J23)</f>
        <v>0</v>
      </c>
      <c r="L23" s="15" t="n">
        <f aca="false">IF(D23=0,0,K23/D23)</f>
        <v>0</v>
      </c>
      <c r="M23" s="18"/>
    </row>
    <row r="24" customFormat="false" ht="15" hidden="false" customHeight="true" outlineLevel="0" collapsed="false">
      <c r="A24" s="18"/>
      <c r="B24" s="18"/>
      <c r="C24" s="18"/>
      <c r="D24" s="31"/>
      <c r="E24" s="18"/>
      <c r="F24" s="14" t="n">
        <f aca="false">IF(E24=0,0,D24/E24)</f>
        <v>0</v>
      </c>
      <c r="G24" s="11" t="n">
        <f aca="false">IF(D24=0,0,D24*(1-SKU成本卡!$B$20))</f>
        <v>0</v>
      </c>
      <c r="H24" s="31"/>
      <c r="I24" s="31"/>
      <c r="J24" s="31"/>
      <c r="K24" s="14" t="n">
        <f aca="false">IF(D24=0,0,D24-G24-H24-I24-J24)</f>
        <v>0</v>
      </c>
      <c r="L24" s="15" t="n">
        <f aca="false">IF(D24=0,0,K24/D24)</f>
        <v>0</v>
      </c>
      <c r="M24" s="18"/>
    </row>
    <row r="26" customFormat="false" ht="15" hidden="false" customHeight="true" outlineLevel="0" collapsed="false">
      <c r="A26" s="22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5" min="4" style="1" width="12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30"/>
  </cols>
  <sheetData>
    <row r="1" customFormat="false" ht="16.5" hidden="false" customHeight="true" outlineLevel="0" collapsed="false">
      <c r="A1" s="2" t="s">
        <v>110</v>
      </c>
    </row>
    <row r="3" customFormat="false" ht="15" hidden="false" customHeight="true" outlineLevel="0" collapsed="false">
      <c r="A3" s="4" t="s">
        <v>95</v>
      </c>
      <c r="B3" s="4" t="s">
        <v>94</v>
      </c>
      <c r="C3" s="4" t="s">
        <v>96</v>
      </c>
      <c r="D3" s="4" t="s">
        <v>85</v>
      </c>
      <c r="E3" s="4" t="s">
        <v>97</v>
      </c>
      <c r="F3" s="4" t="s">
        <v>98</v>
      </c>
      <c r="G3" s="4" t="s">
        <v>103</v>
      </c>
      <c r="H3" s="4" t="s">
        <v>111</v>
      </c>
      <c r="I3" s="4" t="s">
        <v>112</v>
      </c>
    </row>
    <row r="4" customFormat="false" ht="15" hidden="false" customHeight="true" outlineLevel="0" collapsed="false">
      <c r="A4" s="29" t="s">
        <v>106</v>
      </c>
      <c r="B4" s="28" t="s">
        <v>105</v>
      </c>
      <c r="C4" s="29" t="s">
        <v>107</v>
      </c>
      <c r="D4" s="30" t="n">
        <v>250</v>
      </c>
      <c r="E4" s="30" t="n">
        <v>1580</v>
      </c>
      <c r="F4" s="28" t="n">
        <v>96</v>
      </c>
      <c r="G4" s="30" t="n">
        <v>655</v>
      </c>
      <c r="H4" s="32" t="str">
        <f aca="false">IF(G4="","",IF(G4&gt;=400,"A",IF(G4&gt;=200,"B","C")))</f>
        <v>A</v>
      </c>
      <c r="I4" s="29" t="s">
        <v>113</v>
      </c>
    </row>
    <row r="5" customFormat="false" ht="15" hidden="false" customHeight="true" outlineLevel="0" collapsed="false">
      <c r="A5" s="18"/>
      <c r="B5" s="18"/>
      <c r="C5" s="18"/>
      <c r="D5" s="31"/>
      <c r="E5" s="31"/>
      <c r="F5" s="18"/>
      <c r="G5" s="31"/>
      <c r="H5" s="32" t="str">
        <f aca="false">IF(G5="","",IF(G5&gt;=400,"A",IF(G5&gt;=200,"B","C")))</f>
        <v/>
      </c>
      <c r="I5" s="18"/>
    </row>
    <row r="6" customFormat="false" ht="15" hidden="false" customHeight="true" outlineLevel="0" collapsed="false">
      <c r="A6" s="18"/>
      <c r="B6" s="18"/>
      <c r="C6" s="18"/>
      <c r="D6" s="31"/>
      <c r="E6" s="31"/>
      <c r="F6" s="18"/>
      <c r="G6" s="31"/>
      <c r="H6" s="32" t="str">
        <f aca="false">IF(G6="","",IF(G6&gt;=400,"A",IF(G6&gt;=200,"B","C")))</f>
        <v/>
      </c>
      <c r="I6" s="18"/>
    </row>
    <row r="7" customFormat="false" ht="15" hidden="false" customHeight="true" outlineLevel="0" collapsed="false">
      <c r="A7" s="18"/>
      <c r="B7" s="18"/>
      <c r="C7" s="18"/>
      <c r="D7" s="31"/>
      <c r="E7" s="31"/>
      <c r="F7" s="18"/>
      <c r="G7" s="31"/>
      <c r="H7" s="32" t="str">
        <f aca="false">IF(G7="","",IF(G7&gt;=400,"A",IF(G7&gt;=200,"B","C")))</f>
        <v/>
      </c>
      <c r="I7" s="18"/>
    </row>
    <row r="8" customFormat="false" ht="15" hidden="false" customHeight="true" outlineLevel="0" collapsed="false">
      <c r="A8" s="18"/>
      <c r="B8" s="18"/>
      <c r="C8" s="18"/>
      <c r="D8" s="31"/>
      <c r="E8" s="31"/>
      <c r="F8" s="18"/>
      <c r="G8" s="31"/>
      <c r="H8" s="32" t="str">
        <f aca="false">IF(G8="","",IF(G8&gt;=400,"A",IF(G8&gt;=200,"B","C")))</f>
        <v/>
      </c>
      <c r="I8" s="18"/>
    </row>
    <row r="9" customFormat="false" ht="15" hidden="false" customHeight="true" outlineLevel="0" collapsed="false">
      <c r="A9" s="18"/>
      <c r="B9" s="18"/>
      <c r="C9" s="18"/>
      <c r="D9" s="31"/>
      <c r="E9" s="31"/>
      <c r="F9" s="18"/>
      <c r="G9" s="31"/>
      <c r="H9" s="32" t="str">
        <f aca="false">IF(G9="","",IF(G9&gt;=400,"A",IF(G9&gt;=200,"B","C")))</f>
        <v/>
      </c>
      <c r="I9" s="18"/>
    </row>
    <row r="10" customFormat="false" ht="15" hidden="false" customHeight="true" outlineLevel="0" collapsed="false">
      <c r="A10" s="18"/>
      <c r="B10" s="18"/>
      <c r="C10" s="18"/>
      <c r="D10" s="31"/>
      <c r="E10" s="31"/>
      <c r="F10" s="18"/>
      <c r="G10" s="31"/>
      <c r="H10" s="32" t="str">
        <f aca="false">IF(G10="","",IF(G10&gt;=400,"A",IF(G10&gt;=200,"B","C")))</f>
        <v/>
      </c>
      <c r="I10" s="18"/>
    </row>
    <row r="11" customFormat="false" ht="15" hidden="false" customHeight="true" outlineLevel="0" collapsed="false">
      <c r="A11" s="18"/>
      <c r="B11" s="18"/>
      <c r="C11" s="18"/>
      <c r="D11" s="31"/>
      <c r="E11" s="31"/>
      <c r="F11" s="18"/>
      <c r="G11" s="31"/>
      <c r="H11" s="32" t="str">
        <f aca="false">IF(G11="","",IF(G11&gt;=400,"A",IF(G11&gt;=200,"B","C")))</f>
        <v/>
      </c>
      <c r="I11" s="18"/>
    </row>
    <row r="12" customFormat="false" ht="15" hidden="false" customHeight="true" outlineLevel="0" collapsed="false">
      <c r="A12" s="18"/>
      <c r="B12" s="18"/>
      <c r="C12" s="18"/>
      <c r="D12" s="31"/>
      <c r="E12" s="31"/>
      <c r="F12" s="18"/>
      <c r="G12" s="31"/>
      <c r="H12" s="32" t="str">
        <f aca="false">IF(G12="","",IF(G12&gt;=400,"A",IF(G12&gt;=200,"B","C")))</f>
        <v/>
      </c>
      <c r="I12" s="18"/>
    </row>
    <row r="13" customFormat="false" ht="15" hidden="false" customHeight="true" outlineLevel="0" collapsed="false">
      <c r="A13" s="18"/>
      <c r="B13" s="18"/>
      <c r="C13" s="18"/>
      <c r="D13" s="31"/>
      <c r="E13" s="31"/>
      <c r="F13" s="18"/>
      <c r="G13" s="31"/>
      <c r="H13" s="32" t="str">
        <f aca="false">IF(G13="","",IF(G13&gt;=400,"A",IF(G13&gt;=200,"B","C")))</f>
        <v/>
      </c>
      <c r="I13" s="18"/>
    </row>
    <row r="14" customFormat="false" ht="15" hidden="false" customHeight="true" outlineLevel="0" collapsed="false">
      <c r="A14" s="18"/>
      <c r="B14" s="18"/>
      <c r="C14" s="18"/>
      <c r="D14" s="31"/>
      <c r="E14" s="31"/>
      <c r="F14" s="18"/>
      <c r="G14" s="31"/>
      <c r="H14" s="32" t="str">
        <f aca="false">IF(G14="","",IF(G14&gt;=400,"A",IF(G14&gt;=200,"B","C")))</f>
        <v/>
      </c>
      <c r="I14" s="18"/>
    </row>
    <row r="15" customFormat="false" ht="15" hidden="false" customHeight="true" outlineLevel="0" collapsed="false">
      <c r="A15" s="18"/>
      <c r="B15" s="18"/>
      <c r="C15" s="18"/>
      <c r="D15" s="31"/>
      <c r="E15" s="31"/>
      <c r="F15" s="18"/>
      <c r="G15" s="31"/>
      <c r="H15" s="32" t="str">
        <f aca="false">IF(G15="","",IF(G15&gt;=400,"A",IF(G15&gt;=200,"B","C")))</f>
        <v/>
      </c>
      <c r="I15" s="18"/>
    </row>
    <row r="16" customFormat="false" ht="15" hidden="false" customHeight="true" outlineLevel="0" collapsed="false">
      <c r="A16" s="18"/>
      <c r="B16" s="18"/>
      <c r="C16" s="18"/>
      <c r="D16" s="31"/>
      <c r="E16" s="31"/>
      <c r="F16" s="18"/>
      <c r="G16" s="31"/>
      <c r="H16" s="32" t="str">
        <f aca="false">IF(G16="","",IF(G16&gt;=400,"A",IF(G16&gt;=200,"B","C")))</f>
        <v/>
      </c>
      <c r="I16" s="18"/>
    </row>
    <row r="17" customFormat="false" ht="15" hidden="false" customHeight="true" outlineLevel="0" collapsed="false">
      <c r="A17" s="18"/>
      <c r="B17" s="18"/>
      <c r="C17" s="18"/>
      <c r="D17" s="31"/>
      <c r="E17" s="31"/>
      <c r="F17" s="18"/>
      <c r="G17" s="31"/>
      <c r="H17" s="32" t="str">
        <f aca="false">IF(G17="","",IF(G17&gt;=400,"A",IF(G17&gt;=200,"B","C")))</f>
        <v/>
      </c>
      <c r="I17" s="18"/>
    </row>
    <row r="18" customFormat="false" ht="15" hidden="false" customHeight="true" outlineLevel="0" collapsed="false">
      <c r="A18" s="18"/>
      <c r="B18" s="18"/>
      <c r="C18" s="18"/>
      <c r="D18" s="31"/>
      <c r="E18" s="31"/>
      <c r="F18" s="18"/>
      <c r="G18" s="31"/>
      <c r="H18" s="32" t="str">
        <f aca="false">IF(G18="","",IF(G18&gt;=400,"A",IF(G18&gt;=200,"B","C")))</f>
        <v/>
      </c>
      <c r="I18" s="18"/>
    </row>
    <row r="19" customFormat="false" ht="15" hidden="false" customHeight="true" outlineLevel="0" collapsed="false">
      <c r="A19" s="18"/>
      <c r="B19" s="18"/>
      <c r="C19" s="18"/>
      <c r="D19" s="31"/>
      <c r="E19" s="31"/>
      <c r="F19" s="18"/>
      <c r="G19" s="31"/>
      <c r="H19" s="32" t="str">
        <f aca="false">IF(G19="","",IF(G19&gt;=400,"A",IF(G19&gt;=200,"B","C")))</f>
        <v/>
      </c>
      <c r="I19" s="18"/>
    </row>
    <row r="20" customFormat="false" ht="15" hidden="false" customHeight="true" outlineLevel="0" collapsed="false">
      <c r="A20" s="18"/>
      <c r="B20" s="18"/>
      <c r="C20" s="18"/>
      <c r="D20" s="31"/>
      <c r="E20" s="31"/>
      <c r="F20" s="18"/>
      <c r="G20" s="31"/>
      <c r="H20" s="32" t="str">
        <f aca="false">IF(G20="","",IF(G20&gt;=400,"A",IF(G20&gt;=200,"B","C")))</f>
        <v/>
      </c>
      <c r="I20" s="18"/>
    </row>
    <row r="21" customFormat="false" ht="15" hidden="false" customHeight="true" outlineLevel="0" collapsed="false">
      <c r="A21" s="18"/>
      <c r="B21" s="18"/>
      <c r="C21" s="18"/>
      <c r="D21" s="31"/>
      <c r="E21" s="31"/>
      <c r="F21" s="18"/>
      <c r="G21" s="31"/>
      <c r="H21" s="32" t="str">
        <f aca="false">IF(G21="","",IF(G21&gt;=400,"A",IF(G21&gt;=200,"B","C")))</f>
        <v/>
      </c>
      <c r="I21" s="18"/>
    </row>
    <row r="22" customFormat="false" ht="15" hidden="false" customHeight="true" outlineLevel="0" collapsed="false">
      <c r="A22" s="18"/>
      <c r="B22" s="18"/>
      <c r="C22" s="18"/>
      <c r="D22" s="31"/>
      <c r="E22" s="31"/>
      <c r="F22" s="18"/>
      <c r="G22" s="31"/>
      <c r="H22" s="32" t="str">
        <f aca="false">IF(G22="","",IF(G22&gt;=400,"A",IF(G22&gt;=200,"B","C")))</f>
        <v/>
      </c>
      <c r="I22" s="18"/>
    </row>
    <row r="23" customFormat="false" ht="15" hidden="false" customHeight="true" outlineLevel="0" collapsed="false">
      <c r="A23" s="18"/>
      <c r="B23" s="18"/>
      <c r="C23" s="18"/>
      <c r="D23" s="31"/>
      <c r="E23" s="31"/>
      <c r="F23" s="18"/>
      <c r="G23" s="31"/>
      <c r="H23" s="32" t="str">
        <f aca="false">IF(G23="","",IF(G23&gt;=400,"A",IF(G23&gt;=200,"B","C")))</f>
        <v/>
      </c>
      <c r="I23" s="18"/>
    </row>
    <row r="24" customFormat="false" ht="15" hidden="false" customHeight="true" outlineLevel="0" collapsed="false">
      <c r="A24" s="18"/>
      <c r="B24" s="18"/>
      <c r="C24" s="18"/>
      <c r="D24" s="31"/>
      <c r="E24" s="31"/>
      <c r="F24" s="18"/>
      <c r="G24" s="31"/>
      <c r="H24" s="32" t="str">
        <f aca="false">IF(G24="","",IF(G24&gt;=400,"A",IF(G24&gt;=200,"B","C")))</f>
        <v/>
      </c>
      <c r="I24" s="18"/>
    </row>
    <row r="26" customFormat="false" ht="15" hidden="false" customHeight="true" outlineLevel="0" collapsed="false">
      <c r="A26" s="22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2026-08-08T13:57:24Z</dcterms:created>
  <dc:creator>openpyxl</dc:creator>
  <dc:description/>
  <dc:language>en-US</dc:language>
  <cp:lastModifiedBy/>
  <dcterms:modified xsi:type="dcterms:W3CDTF">2026-08-08T14:04:42Z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